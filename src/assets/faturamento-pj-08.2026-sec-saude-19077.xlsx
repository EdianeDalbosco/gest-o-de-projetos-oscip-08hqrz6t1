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eu Drive\2. Projetos\Ativos\TP - Dom Aquino\7. Faturamento\08.2026\1. Faturamento\3. Faturamento PJ e Despesas ADM\"/>
    </mc:Choice>
  </mc:AlternateContent>
  <xr:revisionPtr revIDLastSave="0" documentId="13_ncr:1_{9382C705-B4F9-413C-A60C-0A74C1B83A3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SUMO FATURAMENTO" sheetId="4" r:id="rId1"/>
    <sheet name="DETALHAMENTO CLT" sheetId="17" state="hidden" r:id="rId2"/>
    <sheet name="DETALHAMENTO PF" sheetId="21" state="hidden" r:id="rId3"/>
    <sheet name="DETALHAMENTO PJ SAUDE" sheetId="1" r:id="rId4"/>
    <sheet name="TOTAL POR ATIVIDADE PT" sheetId="5" r:id="rId5"/>
    <sheet name="DESPESA ADM" sheetId="6" r:id="rId6"/>
    <sheet name="Referencia PT" sheetId="3" r:id="rId7"/>
  </sheets>
  <definedNames>
    <definedName name="_xlnm._FilterDatabase" localSheetId="3" hidden="1">'DETALHAMENTO PJ SAUDE'!$B$14:$L$107</definedName>
    <definedName name="_xlnm._FilterDatabase" localSheetId="6" hidden="1">'Referencia PT'!$C$6:$F$23</definedName>
    <definedName name="_xlnm.Print_Area" localSheetId="5">'DESPESA ADM'!$A$1:$J$38</definedName>
    <definedName name="_xlnm.Print_Area" localSheetId="3">'DETALHAMENTO PJ SAUDE'!$A$1:$L$108</definedName>
    <definedName name="_xlnm.Print_Titles" localSheetId="1">'DETALHAMENTO CLT'!$13:$13</definedName>
    <definedName name="_xlnm.Print_Titles" localSheetId="3">'DETALHAMENTO PJ SAUDE'!$14:$14</definedName>
    <definedName name="_xlnm.Print_Titles" localSheetId="4">'TOTAL POR ATIVIDADE PT'!$31:$32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2IfvaqgS2zVeHQPTrbZTXbOqxmeib8jbIqgcLb4/Tw8="/>
    </ext>
  </extLst>
</workbook>
</file>

<file path=xl/calcChain.xml><?xml version="1.0" encoding="utf-8"?>
<calcChain xmlns="http://schemas.openxmlformats.org/spreadsheetml/2006/main">
  <c r="A7" i="1" l="1"/>
  <c r="G22" i="6"/>
  <c r="J18" i="1"/>
  <c r="G18" i="1"/>
  <c r="L18" i="1" s="1"/>
  <c r="F13" i="3"/>
  <c r="J74" i="1" l="1"/>
  <c r="G74" i="1"/>
  <c r="L74" i="1" s="1"/>
  <c r="C5" i="5"/>
  <c r="A5" i="1"/>
  <c r="J28" i="1"/>
  <c r="G28" i="1"/>
  <c r="F108" i="1"/>
  <c r="J46" i="1"/>
  <c r="G46" i="1"/>
  <c r="J39" i="1"/>
  <c r="G39" i="1"/>
  <c r="F38" i="3"/>
  <c r="J48" i="1"/>
  <c r="G48" i="1"/>
  <c r="F37" i="3"/>
  <c r="J61" i="1" s="1"/>
  <c r="G61" i="1"/>
  <c r="J41" i="1"/>
  <c r="G41" i="1"/>
  <c r="J32" i="1"/>
  <c r="G32" i="1"/>
  <c r="J65" i="1"/>
  <c r="G65" i="1"/>
  <c r="J36" i="1"/>
  <c r="G36" i="1"/>
  <c r="J50" i="1"/>
  <c r="G50" i="1"/>
  <c r="J15" i="1"/>
  <c r="G15" i="1"/>
  <c r="J22" i="1"/>
  <c r="G22" i="1"/>
  <c r="J90" i="1"/>
  <c r="G90" i="1"/>
  <c r="L28" i="1" l="1"/>
  <c r="L46" i="1"/>
  <c r="L39" i="1"/>
  <c r="L48" i="1"/>
  <c r="L61" i="1"/>
  <c r="L41" i="1"/>
  <c r="L65" i="1"/>
  <c r="L90" i="1"/>
  <c r="L32" i="1"/>
  <c r="L50" i="1"/>
  <c r="L36" i="1"/>
  <c r="L15" i="1"/>
  <c r="L22" i="1"/>
  <c r="K70" i="1"/>
  <c r="K44" i="1"/>
  <c r="K31" i="1"/>
  <c r="K58" i="1"/>
  <c r="K97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14" i="17"/>
  <c r="T14" i="17"/>
  <c r="N51" i="17"/>
  <c r="J38" i="6"/>
  <c r="J37" i="6"/>
  <c r="J36" i="6"/>
  <c r="J35" i="6"/>
  <c r="J34" i="6"/>
  <c r="J32" i="6"/>
  <c r="F29" i="6"/>
  <c r="G28" i="6"/>
  <c r="G24" i="6"/>
  <c r="G23" i="6"/>
  <c r="G21" i="6"/>
  <c r="G20" i="6"/>
  <c r="G19" i="6"/>
  <c r="I51" i="17"/>
  <c r="D51" i="17"/>
  <c r="Q51" i="17"/>
  <c r="T17" i="17"/>
  <c r="T15" i="17"/>
  <c r="T16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X29" i="17" s="1"/>
  <c r="Y29" i="17" s="1"/>
  <c r="T30" i="17"/>
  <c r="T31" i="17"/>
  <c r="X31" i="17" s="1"/>
  <c r="Y31" i="17" s="1"/>
  <c r="T32" i="17"/>
  <c r="T33" i="17"/>
  <c r="X33" i="17" s="1"/>
  <c r="Y33" i="17" s="1"/>
  <c r="T34" i="17"/>
  <c r="T35" i="17"/>
  <c r="T36" i="17"/>
  <c r="T37" i="17"/>
  <c r="T38" i="17"/>
  <c r="T39" i="17"/>
  <c r="T40" i="17"/>
  <c r="T41" i="17"/>
  <c r="X41" i="17" s="1"/>
  <c r="Y41" i="17" s="1"/>
  <c r="T42" i="17"/>
  <c r="T43" i="17"/>
  <c r="T44" i="17"/>
  <c r="T45" i="17"/>
  <c r="X45" i="17" s="1"/>
  <c r="Y45" i="17" s="1"/>
  <c r="T46" i="17"/>
  <c r="T47" i="17"/>
  <c r="T48" i="17"/>
  <c r="O51" i="17"/>
  <c r="J20" i="1"/>
  <c r="J21" i="1"/>
  <c r="J23" i="1"/>
  <c r="J24" i="1"/>
  <c r="J25" i="1"/>
  <c r="J26" i="1"/>
  <c r="J27" i="1"/>
  <c r="J29" i="1"/>
  <c r="J30" i="1"/>
  <c r="J31" i="1"/>
  <c r="J33" i="1"/>
  <c r="J34" i="1"/>
  <c r="J35" i="1"/>
  <c r="J37" i="1"/>
  <c r="J38" i="1"/>
  <c r="J40" i="1"/>
  <c r="J42" i="1"/>
  <c r="J43" i="1"/>
  <c r="J44" i="1"/>
  <c r="J45" i="1"/>
  <c r="J47" i="1"/>
  <c r="J49" i="1"/>
  <c r="J51" i="1"/>
  <c r="J52" i="1"/>
  <c r="J53" i="1"/>
  <c r="J54" i="1"/>
  <c r="J55" i="1"/>
  <c r="J56" i="1"/>
  <c r="J57" i="1"/>
  <c r="J58" i="1"/>
  <c r="J59" i="1"/>
  <c r="J60" i="1"/>
  <c r="J62" i="1"/>
  <c r="J63" i="1"/>
  <c r="J64" i="1"/>
  <c r="J66" i="1"/>
  <c r="J67" i="1"/>
  <c r="J68" i="1"/>
  <c r="J69" i="1"/>
  <c r="J70" i="1"/>
  <c r="J71" i="1"/>
  <c r="J72" i="1"/>
  <c r="J73" i="1"/>
  <c r="J75" i="1"/>
  <c r="J76" i="1"/>
  <c r="J77" i="1"/>
  <c r="J78" i="1"/>
  <c r="J79" i="1"/>
  <c r="J106" i="1"/>
  <c r="J107" i="1"/>
  <c r="A8" i="6"/>
  <c r="A31" i="5"/>
  <c r="A17" i="5"/>
  <c r="A9" i="5"/>
  <c r="G19" i="1"/>
  <c r="J19" i="1"/>
  <c r="G20" i="1"/>
  <c r="G21" i="1"/>
  <c r="G23" i="1"/>
  <c r="G24" i="1"/>
  <c r="G25" i="1"/>
  <c r="G26" i="1"/>
  <c r="G27" i="1"/>
  <c r="G29" i="1"/>
  <c r="G30" i="1"/>
  <c r="G31" i="1"/>
  <c r="G33" i="1"/>
  <c r="G34" i="1"/>
  <c r="G35" i="1"/>
  <c r="G37" i="1"/>
  <c r="G38" i="1"/>
  <c r="E9" i="1"/>
  <c r="A9" i="1"/>
  <c r="F10" i="21"/>
  <c r="F8" i="21"/>
  <c r="B8" i="21"/>
  <c r="A4" i="21"/>
  <c r="A3" i="21"/>
  <c r="A2" i="21"/>
  <c r="A6" i="21"/>
  <c r="A6" i="17"/>
  <c r="G10" i="17"/>
  <c r="A8" i="17"/>
  <c r="L37" i="1" l="1"/>
  <c r="L24" i="1"/>
  <c r="L91" i="1"/>
  <c r="L97" i="1"/>
  <c r="L81" i="1"/>
  <c r="L87" i="1"/>
  <c r="L94" i="1"/>
  <c r="L21" i="1"/>
  <c r="L100" i="1"/>
  <c r="L103" i="1"/>
  <c r="L84" i="1"/>
  <c r="L80" i="1"/>
  <c r="L86" i="1"/>
  <c r="L93" i="1"/>
  <c r="L99" i="1"/>
  <c r="L105" i="1"/>
  <c r="L33" i="1"/>
  <c r="L82" i="1"/>
  <c r="L88" i="1"/>
  <c r="L95" i="1"/>
  <c r="L85" i="1"/>
  <c r="L92" i="1"/>
  <c r="L98" i="1"/>
  <c r="L104" i="1"/>
  <c r="L101" i="1"/>
  <c r="L19" i="1"/>
  <c r="L26" i="1"/>
  <c r="L25" i="1"/>
  <c r="L35" i="1"/>
  <c r="L20" i="1"/>
  <c r="L83" i="1"/>
  <c r="L96" i="1"/>
  <c r="L38" i="1"/>
  <c r="L23" i="1"/>
  <c r="L34" i="1"/>
  <c r="L30" i="1"/>
  <c r="L31" i="1"/>
  <c r="L29" i="1"/>
  <c r="L27" i="1"/>
  <c r="L89" i="1"/>
  <c r="L102" i="1"/>
  <c r="X26" i="17"/>
  <c r="Y26" i="17" s="1"/>
  <c r="X36" i="17"/>
  <c r="Y36" i="17" s="1"/>
  <c r="X48" i="17"/>
  <c r="Y48" i="17" s="1"/>
  <c r="X14" i="17"/>
  <c r="X20" i="17"/>
  <c r="Y20" i="17" s="1"/>
  <c r="X17" i="17"/>
  <c r="X19" i="17"/>
  <c r="X22" i="17"/>
  <c r="Y22" i="17" s="1"/>
  <c r="X21" i="17"/>
  <c r="X18" i="17"/>
  <c r="Y18" i="17" s="1"/>
  <c r="X16" i="17"/>
  <c r="Y16" i="17" s="1"/>
  <c r="X15" i="17"/>
  <c r="Y15" i="17" s="1"/>
  <c r="X28" i="17"/>
  <c r="Y28" i="17" s="1"/>
  <c r="X43" i="17"/>
  <c r="Y43" i="17" s="1"/>
  <c r="X38" i="17"/>
  <c r="Y38" i="17" s="1"/>
  <c r="X27" i="17"/>
  <c r="Y27" i="17" s="1"/>
  <c r="Y14" i="17"/>
  <c r="X34" i="17"/>
  <c r="Y34" i="17" s="1"/>
  <c r="X46" i="17"/>
  <c r="Y46" i="17" s="1"/>
  <c r="X39" i="17"/>
  <c r="Y39" i="17" s="1"/>
  <c r="X24" i="17"/>
  <c r="Y24" i="17" s="1"/>
  <c r="X25" i="17"/>
  <c r="Y25" i="17" s="1"/>
  <c r="X40" i="17"/>
  <c r="Y40" i="17" s="1"/>
  <c r="X37" i="17"/>
  <c r="Y37" i="17" s="1"/>
  <c r="X32" i="17"/>
  <c r="Y32" i="17" s="1"/>
  <c r="X44" i="17"/>
  <c r="Y44" i="17" s="1"/>
  <c r="X23" i="17"/>
  <c r="Y23" i="17" s="1"/>
  <c r="X35" i="17"/>
  <c r="X47" i="17"/>
  <c r="X42" i="17"/>
  <c r="Y42" i="17" s="1"/>
  <c r="X30" i="17"/>
  <c r="Y30" i="17" s="1"/>
  <c r="G77" i="1"/>
  <c r="L77" i="1" s="1"/>
  <c r="G76" i="1"/>
  <c r="L76" i="1" s="1"/>
  <c r="Y17" i="17" l="1"/>
  <c r="Y21" i="17"/>
  <c r="Y19" i="17"/>
  <c r="Y47" i="17"/>
  <c r="Y35" i="17"/>
  <c r="G62" i="1"/>
  <c r="L62" i="1" s="1"/>
  <c r="G59" i="1"/>
  <c r="L59" i="1" s="1"/>
  <c r="Y51" i="17" l="1"/>
  <c r="J51" i="17"/>
  <c r="K51" i="17"/>
  <c r="L51" i="17"/>
  <c r="M51" i="17"/>
  <c r="P51" i="17"/>
  <c r="R51" i="17"/>
  <c r="S51" i="17"/>
  <c r="V51" i="17"/>
  <c r="W51" i="17"/>
  <c r="G51" i="17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3" i="5"/>
  <c r="T51" i="17" l="1"/>
  <c r="U51" i="17"/>
  <c r="X51" i="17" l="1"/>
  <c r="G68" i="1" l="1"/>
  <c r="L68" i="1" s="1"/>
  <c r="G53" i="1"/>
  <c r="L53" i="1" s="1"/>
  <c r="C19" i="21"/>
  <c r="G19" i="21"/>
  <c r="H19" i="21"/>
  <c r="Q17" i="21"/>
  <c r="U17" i="21" s="1"/>
  <c r="G79" i="1"/>
  <c r="L79" i="1" s="1"/>
  <c r="G70" i="1"/>
  <c r="L70" i="1" s="1"/>
  <c r="G71" i="1"/>
  <c r="L71" i="1" s="1"/>
  <c r="G66" i="1"/>
  <c r="L66" i="1" s="1"/>
  <c r="G55" i="1"/>
  <c r="L55" i="1" s="1"/>
  <c r="G54" i="1"/>
  <c r="L54" i="1" s="1"/>
  <c r="G44" i="1"/>
  <c r="L44" i="1" s="1"/>
  <c r="G42" i="1"/>
  <c r="L42" i="1" s="1"/>
  <c r="H26" i="5" l="1"/>
  <c r="I26" i="5"/>
  <c r="J17" i="1" l="1"/>
  <c r="G16" i="1"/>
  <c r="J16" i="1"/>
  <c r="L16" i="1" l="1"/>
  <c r="G51" i="1"/>
  <c r="L51" i="1" s="1"/>
  <c r="G72" i="1" l="1"/>
  <c r="L72" i="1" s="1"/>
  <c r="G64" i="1"/>
  <c r="L64" i="1" s="1"/>
  <c r="G40" i="1"/>
  <c r="L40" i="1" s="1"/>
  <c r="I29" i="5" l="1"/>
  <c r="I20" i="5"/>
  <c r="I24" i="5"/>
  <c r="H21" i="5"/>
  <c r="H25" i="5"/>
  <c r="H30" i="5"/>
  <c r="H22" i="5"/>
  <c r="H27" i="5"/>
  <c r="H19" i="5"/>
  <c r="I28" i="5"/>
  <c r="H20" i="5"/>
  <c r="H29" i="5"/>
  <c r="I30" i="5"/>
  <c r="I21" i="5"/>
  <c r="I25" i="5"/>
  <c r="I22" i="5"/>
  <c r="I19" i="5"/>
  <c r="H23" i="5"/>
  <c r="H28" i="5"/>
  <c r="H24" i="5"/>
  <c r="I19" i="21" l="1"/>
  <c r="J19" i="21"/>
  <c r="K19" i="21"/>
  <c r="L19" i="21"/>
  <c r="M19" i="21"/>
  <c r="N19" i="21"/>
  <c r="O19" i="21"/>
  <c r="P19" i="21"/>
  <c r="R19" i="21"/>
  <c r="S19" i="21"/>
  <c r="T19" i="21"/>
  <c r="A12" i="21"/>
  <c r="G107" i="1"/>
  <c r="L107" i="1" s="1"/>
  <c r="G45" i="1" l="1"/>
  <c r="L45" i="1" s="1"/>
  <c r="H53" i="5" l="1"/>
  <c r="H46" i="5"/>
  <c r="H44" i="5"/>
  <c r="H42" i="5"/>
  <c r="H65" i="5"/>
  <c r="H68" i="5"/>
  <c r="H43" i="5"/>
  <c r="H41" i="5"/>
  <c r="H40" i="5"/>
  <c r="H48" i="5"/>
  <c r="H63" i="5"/>
  <c r="H45" i="5"/>
  <c r="H64" i="5"/>
  <c r="H34" i="5"/>
  <c r="H66" i="5"/>
  <c r="H49" i="5"/>
  <c r="H52" i="5"/>
  <c r="H57" i="5"/>
  <c r="H51" i="5"/>
  <c r="H54" i="5"/>
  <c r="H61" i="5"/>
  <c r="H67" i="5"/>
  <c r="H38" i="5"/>
  <c r="H35" i="5"/>
  <c r="H55" i="5"/>
  <c r="H47" i="5"/>
  <c r="H59" i="5"/>
  <c r="H69" i="5"/>
  <c r="H56" i="5"/>
  <c r="H50" i="5"/>
  <c r="H58" i="5"/>
  <c r="H60" i="5"/>
  <c r="H36" i="5"/>
  <c r="H70" i="5"/>
  <c r="H62" i="5"/>
  <c r="H37" i="5"/>
  <c r="H39" i="5"/>
  <c r="G43" i="1"/>
  <c r="L43" i="1" s="1"/>
  <c r="G17" i="1" l="1"/>
  <c r="L17" i="1" s="1"/>
  <c r="G106" i="1"/>
  <c r="L106" i="1" s="1"/>
  <c r="Q18" i="21"/>
  <c r="Q19" i="21" l="1"/>
  <c r="U18" i="21"/>
  <c r="U19" i="21" s="1"/>
  <c r="G27" i="6" s="1"/>
  <c r="I27" i="5" l="1"/>
  <c r="I23" i="5"/>
  <c r="G57" i="1"/>
  <c r="L57" i="1" s="1"/>
  <c r="I17" i="5" l="1"/>
  <c r="G73" i="1"/>
  <c r="L73" i="1" s="1"/>
  <c r="A12" i="17" l="1"/>
  <c r="A10" i="17"/>
  <c r="B10" i="21" s="1"/>
  <c r="A4" i="17"/>
  <c r="A3" i="17"/>
  <c r="A2" i="17"/>
  <c r="G60" i="1" l="1"/>
  <c r="L60" i="1" s="1"/>
  <c r="E11" i="1" l="1"/>
  <c r="C4" i="6" l="1"/>
  <c r="C3" i="6"/>
  <c r="C1" i="6"/>
  <c r="C1" i="5"/>
  <c r="A2" i="1" l="1"/>
  <c r="C4" i="5" l="1"/>
  <c r="C3" i="5"/>
  <c r="A4" i="1"/>
  <c r="A3" i="1"/>
  <c r="A11" i="1"/>
  <c r="G75" i="1"/>
  <c r="L75" i="1" s="1"/>
  <c r="G58" i="1"/>
  <c r="L58" i="1" s="1"/>
  <c r="G49" i="1"/>
  <c r="L49" i="1" s="1"/>
  <c r="G47" i="1"/>
  <c r="L47" i="1" s="1"/>
  <c r="H23" i="4" l="1"/>
  <c r="H22" i="4"/>
  <c r="A12" i="6"/>
  <c r="A15" i="5"/>
  <c r="A13" i="5"/>
  <c r="A14" i="6"/>
  <c r="A10" i="6"/>
  <c r="A11" i="5"/>
  <c r="A13" i="1"/>
  <c r="G56" i="1"/>
  <c r="L56" i="1" s="1"/>
  <c r="G78" i="1"/>
  <c r="L78" i="1" s="1"/>
  <c r="G69" i="1"/>
  <c r="L69" i="1" s="1"/>
  <c r="G63" i="1"/>
  <c r="L63" i="1" s="1"/>
  <c r="G52" i="1"/>
  <c r="L52" i="1" s="1"/>
  <c r="G67" i="1"/>
  <c r="L67" i="1" s="1"/>
  <c r="H21" i="4" l="1"/>
  <c r="G22" i="4" s="1"/>
  <c r="H25" i="4" s="1"/>
  <c r="L108" i="1"/>
  <c r="I64" i="5"/>
  <c r="I69" i="5"/>
  <c r="I56" i="5"/>
  <c r="I51" i="5"/>
  <c r="I53" i="5"/>
  <c r="I34" i="5"/>
  <c r="I68" i="5"/>
  <c r="I45" i="5"/>
  <c r="I54" i="5"/>
  <c r="I52" i="5"/>
  <c r="I60" i="5"/>
  <c r="I65" i="5"/>
  <c r="I37" i="5"/>
  <c r="I41" i="5"/>
  <c r="I67" i="5"/>
  <c r="I36" i="5"/>
  <c r="I35" i="5"/>
  <c r="I62" i="5"/>
  <c r="I47" i="5"/>
  <c r="I42" i="5"/>
  <c r="I40" i="5"/>
  <c r="I61" i="5"/>
  <c r="I57" i="5"/>
  <c r="I58" i="5"/>
  <c r="I55" i="5"/>
  <c r="I39" i="5"/>
  <c r="I70" i="5"/>
  <c r="I49" i="5"/>
  <c r="I48" i="5"/>
  <c r="I50" i="5"/>
  <c r="I38" i="5"/>
  <c r="I33" i="5"/>
  <c r="I43" i="5"/>
  <c r="I59" i="5"/>
  <c r="I63" i="5"/>
  <c r="I46" i="5"/>
  <c r="I66" i="5"/>
  <c r="I44" i="5"/>
  <c r="G23" i="4" l="1"/>
  <c r="H26" i="4" s="1"/>
  <c r="H19" i="4"/>
  <c r="I31" i="5"/>
  <c r="H33" i="5" l="1"/>
  <c r="G26" i="6" l="1"/>
  <c r="G25" i="6" l="1"/>
  <c r="E29" i="6"/>
  <c r="G29" i="6" l="1"/>
  <c r="H22" i="6" s="1"/>
  <c r="J22" i="6" s="1"/>
  <c r="M22" i="6" s="1"/>
  <c r="H19" i="6" l="1"/>
  <c r="J19" i="6" s="1"/>
  <c r="H26" i="6"/>
  <c r="J26" i="6" s="1"/>
  <c r="M26" i="6" s="1"/>
  <c r="H25" i="6"/>
  <c r="J25" i="6" s="1"/>
  <c r="M25" i="6" s="1"/>
  <c r="H24" i="6"/>
  <c r="J24" i="6" s="1"/>
  <c r="M24" i="6" s="1"/>
  <c r="H23" i="6"/>
  <c r="J23" i="6" s="1"/>
  <c r="M23" i="6" s="1"/>
  <c r="H20" i="6"/>
  <c r="J20" i="6" s="1"/>
  <c r="M20" i="6" s="1"/>
  <c r="H21" i="6"/>
  <c r="J21" i="6" s="1"/>
  <c r="M21" i="6" s="1"/>
  <c r="H28" i="6"/>
  <c r="J28" i="6" s="1"/>
  <c r="M28" i="6" s="1"/>
  <c r="H27" i="6"/>
  <c r="J27" i="6" s="1"/>
  <c r="H29" i="6" l="1"/>
  <c r="M27" i="6"/>
  <c r="H24" i="4"/>
  <c r="H27" i="4" s="1"/>
  <c r="J29" i="6"/>
  <c r="M29" i="6" s="1"/>
  <c r="M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Ediane Dalbosco</author>
  </authors>
  <commentList>
    <comment ref="F13" authorId="0" shapeId="0" xr:uid="{A504F234-5E42-4DCC-9CA0-84E4DC4B01BD}">
      <text>
        <r>
          <rPr>
            <b/>
            <sz val="14"/>
            <color indexed="81"/>
            <rFont val="Segoe UI"/>
            <family val="2"/>
          </rPr>
          <t>OPÇÕES:
Normal
Admissão
Férias
Afastamento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Ediane Dalbosco</author>
  </authors>
  <commentList>
    <comment ref="F16" authorId="0" shapeId="0" xr:uid="{C7E57ADC-75EF-43A8-AE45-2D974413D5E9}">
      <text>
        <r>
          <rPr>
            <b/>
            <sz val="14"/>
            <color indexed="81"/>
            <rFont val="Segoe UI"/>
            <family val="2"/>
          </rPr>
          <t>OPÇÕES:
Normal
Admissão
Férias
Afastamento</t>
        </r>
      </text>
    </comment>
  </commentList>
</comments>
</file>

<file path=xl/sharedStrings.xml><?xml version="1.0" encoding="utf-8"?>
<sst xmlns="http://schemas.openxmlformats.org/spreadsheetml/2006/main" count="767" uniqueCount="371">
  <si>
    <t>ITEM</t>
  </si>
  <si>
    <t>EMPRESA</t>
  </si>
  <si>
    <t>CNPJ</t>
  </si>
  <si>
    <t>PROFISSIONAL</t>
  </si>
  <si>
    <t>ATIVIDADE</t>
  </si>
  <si>
    <t>LOCAL</t>
  </si>
  <si>
    <t>DATA INÍCIO</t>
  </si>
  <si>
    <t>REMUNERAÇÃO BASE</t>
  </si>
  <si>
    <t>REF</t>
  </si>
  <si>
    <t>VALOR</t>
  </si>
  <si>
    <t>PSF</t>
  </si>
  <si>
    <t>PLANTONISTA</t>
  </si>
  <si>
    <t>TOTAL</t>
  </si>
  <si>
    <t>*</t>
  </si>
  <si>
    <t>TIPO</t>
  </si>
  <si>
    <t>SECRETARIA</t>
  </si>
  <si>
    <t>REMUNERAÇÃO</t>
  </si>
  <si>
    <t>SECRETARIA MUNICIPAL DE SAÚDE</t>
  </si>
  <si>
    <t>2 - DESPESAS ADMINISTRATIVAS E OPERACIONAIS</t>
  </si>
  <si>
    <t>PRESIDENTE</t>
  </si>
  <si>
    <t>RELATÓRIO SINTÉTICO POR ATIVIDADE</t>
  </si>
  <si>
    <t>DESCRIÇÃO</t>
  </si>
  <si>
    <t>QTDADE</t>
  </si>
  <si>
    <t>CLASSIFICAÇÃO DA DESPESA</t>
  </si>
  <si>
    <t>RATEIO SEDE</t>
  </si>
  <si>
    <t>VALOR MENSAL</t>
  </si>
  <si>
    <t>CUSTO DIRETO</t>
  </si>
  <si>
    <t>% RATEIO</t>
  </si>
  <si>
    <t>SECRETARIA MUNICIPAL DE ADMINISTRAÇÃO</t>
  </si>
  <si>
    <t>VALOR POR SECRETARIA</t>
  </si>
  <si>
    <t>2. RELATÓRIO ANALÍTICO DESPESAS ADMINISTRATIVAS E OPERACIONAIS</t>
  </si>
  <si>
    <t>Codigo Consisa</t>
  </si>
  <si>
    <t>Colaborador</t>
  </si>
  <si>
    <t>Cargo</t>
  </si>
  <si>
    <t>Setor</t>
  </si>
  <si>
    <t>Situação</t>
  </si>
  <si>
    <t>Remuneração Base</t>
  </si>
  <si>
    <t>Remuneração</t>
  </si>
  <si>
    <t>Insalubridade</t>
  </si>
  <si>
    <t>Periculosidade</t>
  </si>
  <si>
    <t>Salário Família</t>
  </si>
  <si>
    <t>Horas Extras</t>
  </si>
  <si>
    <t>Adicional Noturno</t>
  </si>
  <si>
    <t>Ajuda de Custo</t>
  </si>
  <si>
    <t>Faltas</t>
  </si>
  <si>
    <t>Provisão                           19,44%</t>
  </si>
  <si>
    <t>Verbas Rescisórias</t>
  </si>
  <si>
    <t>Multa 40%</t>
  </si>
  <si>
    <t>Encargos Tributários 37,80%</t>
  </si>
  <si>
    <t>Valor Total</t>
  </si>
  <si>
    <t>Ativo</t>
  </si>
  <si>
    <t>Proventos</t>
  </si>
  <si>
    <t>DESCRIÇÃO COLABORADOR/FUNÇÃO/SEÇÃO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</si>
  <si>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</si>
  <si>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</si>
  <si>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</si>
  <si>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</si>
  <si>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</si>
  <si>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</si>
  <si>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</si>
  <si>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</si>
  <si>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</si>
  <si>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</si>
  <si>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</si>
  <si>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</si>
  <si>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</si>
  <si>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</si>
  <si>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(J-D-E-G)*37,80%(E)</t>
  </si>
  <si>
    <t>(J+K+L+M)</t>
  </si>
  <si>
    <t>Função</t>
  </si>
  <si>
    <t>Função tabela</t>
  </si>
  <si>
    <t>Seção</t>
  </si>
  <si>
    <t>Complemento Piso Enfermagem</t>
  </si>
  <si>
    <t xml:space="preserve">Sub Total </t>
  </si>
  <si>
    <t xml:space="preserve"> </t>
  </si>
  <si>
    <t>SUBTOTAL1</t>
  </si>
  <si>
    <t>Encargos Tributários</t>
  </si>
  <si>
    <t>Serviços De Coordenação De Processos II</t>
  </si>
  <si>
    <t>PREFEITURA MUNICIPAL DE DOM AQUINO/MT</t>
  </si>
  <si>
    <r>
      <t xml:space="preserve">OSCIP. </t>
    </r>
    <r>
      <rPr>
        <sz val="10"/>
        <color theme="1"/>
        <rFont val="Calibri"/>
        <family val="2"/>
      </rPr>
      <t>ORGANIZAÇÃO DE SAÚDE SÃO BENTO</t>
    </r>
  </si>
  <si>
    <t xml:space="preserve">     1.1 - CLT</t>
  </si>
  <si>
    <t xml:space="preserve">     1.2 - PJ</t>
  </si>
  <si>
    <t>1 - EXECUÇÃO DIRETA DO PROJETO</t>
  </si>
  <si>
    <t>ÓRGÃO PARCEIRO: PREFEITURA MUNICIPAL DE DOM AQUINO/MT</t>
  </si>
  <si>
    <t>DOM AQUINO/MT</t>
  </si>
  <si>
    <t>IREDIR MARIA LACCAL DA SILVA FERREIRA</t>
  </si>
  <si>
    <t>TERMO DE PARCERIA Nº 001/2026</t>
  </si>
  <si>
    <t>Gratificação</t>
  </si>
  <si>
    <t>Ref</t>
  </si>
  <si>
    <t>CPF</t>
  </si>
  <si>
    <t>Vigia Noturno</t>
  </si>
  <si>
    <t>DSR</t>
  </si>
  <si>
    <r>
      <t xml:space="preserve">PROJETO </t>
    </r>
    <r>
      <rPr>
        <sz val="10"/>
        <color theme="1"/>
        <rFont val="Calibri"/>
        <family val="2"/>
      </rPr>
      <t xml:space="preserve">FORSAÚDE – Fortalecimento da Saúde Pública Municipal   </t>
    </r>
  </si>
  <si>
    <t>Aline De Oliveira Vergilio</t>
  </si>
  <si>
    <t>Eliane Da Costa Santos</t>
  </si>
  <si>
    <t>Gisele Aparecida Soares Santana</t>
  </si>
  <si>
    <t>Kelly Kariny Gandes Silva</t>
  </si>
  <si>
    <t>Mariany Rosa Pereira</t>
  </si>
  <si>
    <t>Marilza Santana Silva Garcia</t>
  </si>
  <si>
    <t>Marina De Jesus Barreto Souza</t>
  </si>
  <si>
    <t>Najara Barbosa De Oliveira</t>
  </si>
  <si>
    <t>Vanessa Fernanda Garcia Barbosa</t>
  </si>
  <si>
    <t>030.378.821-66</t>
  </si>
  <si>
    <t>010.676.081-50</t>
  </si>
  <si>
    <t>014.785.481-42</t>
  </si>
  <si>
    <t>057.078.871-48</t>
  </si>
  <si>
    <t>045.438.061-58</t>
  </si>
  <si>
    <t>044.490.521-96</t>
  </si>
  <si>
    <t>010.618.831-32</t>
  </si>
  <si>
    <t>039.013.111-30</t>
  </si>
  <si>
    <t>056.873.071-25</t>
  </si>
  <si>
    <t>Tecnico De Enfermagem</t>
  </si>
  <si>
    <t>Tecnico Radiologia</t>
  </si>
  <si>
    <t>Tecnico Em Saude Bucal</t>
  </si>
  <si>
    <t>Plantão</t>
  </si>
  <si>
    <t>MEMÓRIA DE CÁLCULO PARA RATEIO DAS DESPESAS ADMINISTRATIVAS 
ENTRE AS SECRETARIAS DO TERMO DE PARCERIA Nº 001/2026</t>
  </si>
  <si>
    <t>CLT</t>
  </si>
  <si>
    <t>PJ</t>
  </si>
  <si>
    <t>SECRETARIA MUNICIPAL DE AGRICULTURA</t>
  </si>
  <si>
    <t>SECRETARIA MUNICIPAL DE EDUCAÇÃO</t>
  </si>
  <si>
    <t>SECRETARIA MUNICIPAL DE ESPORTE E LAZER</t>
  </si>
  <si>
    <t>DAE - DEPARTAMENTO DE ÁGUA E ESGOTO</t>
  </si>
  <si>
    <t>DESPESAS ADMINISTRATIVAS E OPERACIONAIS TP Nº 001/2026</t>
  </si>
  <si>
    <r>
      <rPr>
        <b/>
        <sz val="10"/>
        <color theme="1"/>
        <rFont val="Calibri"/>
        <family val="2"/>
      </rPr>
      <t>Auditoria Independente</t>
    </r>
    <r>
      <rPr>
        <sz val="9"/>
        <color theme="1"/>
        <rFont val="Calibri"/>
        <family val="2"/>
      </rPr>
      <t xml:space="preserve">
(Em atendimento à Lei Federal nº 9.790/1999, ao Decreto nº 3.100/1999 e à Lei Estadual nº 11.082/2020, que estabelecem a obrigatoriedade de auditoria externa por profissional/empresa habilitada para análise da execução dos Termos de Parceria quando o valor pactuado for igual ou superior a R$ 600.000,00.)</t>
    </r>
  </si>
  <si>
    <r>
      <rPr>
        <b/>
        <sz val="10"/>
        <color theme="1"/>
        <rFont val="Calibri"/>
        <family val="2"/>
      </rPr>
      <t>Despesa com Imóvel</t>
    </r>
    <r>
      <rPr>
        <sz val="9"/>
        <color theme="1"/>
        <rFont val="Calibri"/>
        <family val="2"/>
      </rPr>
      <t xml:space="preserve">
(Despesas com Locação de Imóvel, Fornecimento de Água e Energia Elétrica, Internet/Telefone, Manutenção Predial e Afins) </t>
    </r>
  </si>
  <si>
    <r>
      <rPr>
        <b/>
        <sz val="10"/>
        <color theme="1"/>
        <rFont val="Calibri"/>
        <family val="2"/>
      </rPr>
      <t>Despesas Bancárias</t>
    </r>
    <r>
      <rPr>
        <sz val="9"/>
        <color theme="1"/>
        <rFont val="Calibri"/>
        <family val="2"/>
      </rPr>
      <t xml:space="preserve">
(Despesas com Tarifa Manutenção Mensal, Tarifas Transferências Bancárias e Afins)</t>
    </r>
  </si>
  <si>
    <r>
      <rPr>
        <b/>
        <sz val="10"/>
        <color theme="1"/>
        <rFont val="Calibri"/>
        <family val="2"/>
      </rPr>
      <t>Despesas Pessoa Física e Jurídica</t>
    </r>
    <r>
      <rPr>
        <sz val="9"/>
        <color theme="1"/>
        <rFont val="Calibri"/>
        <family val="2"/>
      </rPr>
      <t xml:space="preserve">
(Despesas com Honorários Advocatícios e Contábeis, Contratação de Prestadores e/ou Profissionais nas Áreas:  Administrativa, Financeira, Projetos, Faturamento, TI, Verificação Independente, Gestão, Locação de Veículo(s) e Impressora(s), Diária(s), Deslocamento e Afins) </t>
    </r>
  </si>
  <si>
    <r>
      <rPr>
        <b/>
        <sz val="10"/>
        <color theme="1"/>
        <rFont val="Calibri"/>
        <family val="2"/>
      </rPr>
      <t>Materiais de Consumo e Expediente</t>
    </r>
    <r>
      <rPr>
        <sz val="9"/>
        <color theme="1"/>
        <rFont val="Calibri"/>
        <family val="2"/>
      </rPr>
      <t xml:space="preserve">
(Despesa com Materiais de Uso na Rotina Administrativa, Limpeza, Copa e Afins)</t>
    </r>
  </si>
  <si>
    <r>
      <t xml:space="preserve">PERÍODO. </t>
    </r>
    <r>
      <rPr>
        <sz val="10"/>
        <color theme="1"/>
        <rFont val="Calibri"/>
        <family val="2"/>
      </rPr>
      <t>AGOSTO DE 2026</t>
    </r>
  </si>
  <si>
    <r>
      <t xml:space="preserve">COMPETÊNCIA. </t>
    </r>
    <r>
      <rPr>
        <sz val="11"/>
        <color theme="0"/>
        <rFont val="Calibri"/>
        <family val="2"/>
      </rPr>
      <t>01 A 31 DE AGOSTO DE 2026</t>
    </r>
  </si>
  <si>
    <t>RELATÓRIO SINTÉTICO FATURAMENTO - PJ</t>
  </si>
  <si>
    <t>Acompanhamento de Paciente</t>
  </si>
  <si>
    <t>Serviço Mensal</t>
  </si>
  <si>
    <t>Agente de Conservação e Limpeza II</t>
  </si>
  <si>
    <t>Assistente Social</t>
  </si>
  <si>
    <t>Auxiliar de Saúde Bucal</t>
  </si>
  <si>
    <t>Bioquímico I</t>
  </si>
  <si>
    <t>Controlador de Frota</t>
  </si>
  <si>
    <t>Coordenador Administrativo</t>
  </si>
  <si>
    <t>Coordenador de Unidade de Saúde</t>
  </si>
  <si>
    <t>Dentista</t>
  </si>
  <si>
    <t>Educador Físico I</t>
  </si>
  <si>
    <t>Enfermeiro</t>
  </si>
  <si>
    <t>Enfermeiro Diurno</t>
  </si>
  <si>
    <t>Enfermeiro Noturno</t>
  </si>
  <si>
    <t>Farmacêutico</t>
  </si>
  <si>
    <t>Fisioterapeuta</t>
  </si>
  <si>
    <t>Médico Clínico – Plantão 12h</t>
  </si>
  <si>
    <t>Demanda</t>
  </si>
  <si>
    <t>Médico Clínico Geral</t>
  </si>
  <si>
    <t>Motorista I</t>
  </si>
  <si>
    <t>Motorista II</t>
  </si>
  <si>
    <t>Psicólogo I</t>
  </si>
  <si>
    <t>Psicólogo II</t>
  </si>
  <si>
    <t>Recepcionista II</t>
  </si>
  <si>
    <t>Recepcionista III</t>
  </si>
  <si>
    <t>Recepcionista IV</t>
  </si>
  <si>
    <t>Serviços Gerais III</t>
  </si>
  <si>
    <t>Técnico Administrativo II</t>
  </si>
  <si>
    <t>Sec Saude</t>
  </si>
  <si>
    <t>DOTAÇÃO</t>
  </si>
  <si>
    <t>26.781.853 Marcela Luzia Araujo Da Silveira</t>
  </si>
  <si>
    <t>26.781.853/0001-00</t>
  </si>
  <si>
    <t>37.348.812 Aylla Angelica Monte Mendes</t>
  </si>
  <si>
    <t>37.348.812/0001-32</t>
  </si>
  <si>
    <t>51.090.950 Dejairson Joao Araujo Da Costa</t>
  </si>
  <si>
    <t>51.090.950/0001-95</t>
  </si>
  <si>
    <t>51.304.838 Michela Cristina De Oliveira</t>
  </si>
  <si>
    <t>51.304.838/0001-00</t>
  </si>
  <si>
    <t>51.509.678 Larissa da Silva Pessoa</t>
  </si>
  <si>
    <t>51.509.678/0001-35</t>
  </si>
  <si>
    <t>51.961.971 Natalia Das Virgens Pacheco</t>
  </si>
  <si>
    <t>51.961.971/0001-39</t>
  </si>
  <si>
    <t>53.834.087 Virlei Miranda De Souza</t>
  </si>
  <si>
    <t>53.834.087/0001-69</t>
  </si>
  <si>
    <t>53.870.742 Maria Aparecida Vilto Da Silva</t>
  </si>
  <si>
    <t>53.870.742/0001-34</t>
  </si>
  <si>
    <t>53.981.677 Rafaela Soares Inacio</t>
  </si>
  <si>
    <t>53.981.677/0001-14</t>
  </si>
  <si>
    <t>54.114.115 Rosemeire Souza Ribeiro</t>
  </si>
  <si>
    <t>54.114.115/0001-36</t>
  </si>
  <si>
    <t>54.632.340 Raul Torres Marques</t>
  </si>
  <si>
    <t>54.632.340/0001-64</t>
  </si>
  <si>
    <t>59.215.311 Bruna Taina Santin</t>
  </si>
  <si>
    <t>59.215.311/0001-10</t>
  </si>
  <si>
    <t>59.373.454 Alecsandra Bezerra De Farias Bastos</t>
  </si>
  <si>
    <t>59.373.454/0001-50</t>
  </si>
  <si>
    <t>59.688.729 Hamanda Aparecida De Oliveira Freitas</t>
  </si>
  <si>
    <t>59.688.729/0001-45</t>
  </si>
  <si>
    <t>59.711.381 Thome Da Silva Guedes Neto</t>
  </si>
  <si>
    <t>59.711.381/0001-60</t>
  </si>
  <si>
    <t>60.813.088 Felipe Jose Siqueira Santana Do Monte</t>
  </si>
  <si>
    <t>60.813.088/0001-92</t>
  </si>
  <si>
    <t>61.466.773 Arle Ferreira Leocardio</t>
  </si>
  <si>
    <t>61.466.773/0001-52</t>
  </si>
  <si>
    <t>62.157.459 Fabricio Nunes Camargo</t>
  </si>
  <si>
    <t>62.157.459/0001-50</t>
  </si>
  <si>
    <t>62.185.423 Lidia Mikaelly Sousa Rodrigues</t>
  </si>
  <si>
    <t>62.185.423/0001-80</t>
  </si>
  <si>
    <t>62.955.056 Rosa Ferreira</t>
  </si>
  <si>
    <t>62.955.056/0001-57</t>
  </si>
  <si>
    <t>62.955.671 Dayane De Jesus Souza Gomes</t>
  </si>
  <si>
    <t>62.955.671/0001-63</t>
  </si>
  <si>
    <t>62.985.373 Nilzaete Bezerra De Farias</t>
  </si>
  <si>
    <t>62.985.373/0001-16</t>
  </si>
  <si>
    <t>63.023.268 Marilene Alves Conceicao</t>
  </si>
  <si>
    <t>63.023.268/0001-69</t>
  </si>
  <si>
    <t>63.178.258 Josiane Cristina Monte Moreira</t>
  </si>
  <si>
    <t>63.178.258/0001-00</t>
  </si>
  <si>
    <t>64.434.240 Aparecida Lucilene Lopes De Oliveira</t>
  </si>
  <si>
    <t>64.434.240/0001-87</t>
  </si>
  <si>
    <t>65.353.941 Matheus Henrique de Avelino Santos</t>
  </si>
  <si>
    <t>65.353.941/0001-54</t>
  </si>
  <si>
    <t>65.406.041 Naiara da Silva Rodrigues</t>
  </si>
  <si>
    <t>65.406.041/0001-28</t>
  </si>
  <si>
    <t>65.989.197 Kener Roger da Rocha Silva</t>
  </si>
  <si>
    <t>65.989.197/0001-89</t>
  </si>
  <si>
    <t>66.028.321 Andressa Bruna Costa Laranjeira</t>
  </si>
  <si>
    <t>66.028.321/0001-02</t>
  </si>
  <si>
    <t>66.181.724 Rosicleide Maria da Conceicao dos Santos</t>
  </si>
  <si>
    <t>66.181.724/0001-97</t>
  </si>
  <si>
    <t xml:space="preserve">67.798.050 Irani Francisca da Silva </t>
  </si>
  <si>
    <t>67.798.050/0001-37</t>
  </si>
  <si>
    <t xml:space="preserve">68.151.322 Maria Aparecida Gomes Silva </t>
  </si>
  <si>
    <t>68.151.322/0001-75</t>
  </si>
  <si>
    <t>68.442.629 Marcia Silva e Souza</t>
  </si>
  <si>
    <t>68.442.629/0001-25</t>
  </si>
  <si>
    <t>A. Decesaro LTDA</t>
  </si>
  <si>
    <t>54.015.720/0001-50</t>
  </si>
  <si>
    <t>Adienni Leandro Dos Santos Ltda</t>
  </si>
  <si>
    <t>60.002.682/0001-01</t>
  </si>
  <si>
    <t>Aline Lopes Moraes da Silva Ltda</t>
  </si>
  <si>
    <t>65.533.131/0001-80</t>
  </si>
  <si>
    <t>Atendimento Medico SB Med Ltda</t>
  </si>
  <si>
    <t>44.399.312/0001-95</t>
  </si>
  <si>
    <t>C S Odontologia Ltda</t>
  </si>
  <si>
    <t>48.536.275/0001-70</t>
  </si>
  <si>
    <t>Cecilia Moraes Da Silva Oliveira Ltda</t>
  </si>
  <si>
    <t>63.209.179/0001-01</t>
  </si>
  <si>
    <t>Clinica Mohr LTDA</t>
  </si>
  <si>
    <t>55.596.304/0001-55</t>
  </si>
  <si>
    <t>Clinica Odontologica Ltda</t>
  </si>
  <si>
    <t>48.631.083/0001-43</t>
  </si>
  <si>
    <t>Elaine C Laranjeira Ltda</t>
  </si>
  <si>
    <t>68.426.593/0001-96</t>
  </si>
  <si>
    <t>Emilly Oliveira Silva Cruz</t>
  </si>
  <si>
    <t>44.413.776/0001-09</t>
  </si>
  <si>
    <t xml:space="preserve">Érica Enfermagem </t>
  </si>
  <si>
    <t>53.802.649/0001-92</t>
  </si>
  <si>
    <t>Erick Ricardo Reis Rodrigues</t>
  </si>
  <si>
    <t>46.424.433/0001-75</t>
  </si>
  <si>
    <t>Essencialmed Serviços Ltda</t>
  </si>
  <si>
    <t>68.270.946/0001-01</t>
  </si>
  <si>
    <t>Florescer Psicologia Ltda</t>
  </si>
  <si>
    <t>60.074.313/0001-16</t>
  </si>
  <si>
    <t>Francielle De Carli Ltda</t>
  </si>
  <si>
    <t>59.533.132/0001-21</t>
  </si>
  <si>
    <t>GMR Assistencia em Enfermagem</t>
  </si>
  <si>
    <t>65.450.071/0001-31</t>
  </si>
  <si>
    <t>Joao Arrais Serviços Medicos Ltda</t>
  </si>
  <si>
    <t>54.059.010/0001-21</t>
  </si>
  <si>
    <t>Jovelina S Muniz</t>
  </si>
  <si>
    <t>54.021.630/0001-71</t>
  </si>
  <si>
    <t xml:space="preserve">Laiza Ramos Serviços Medicos LTDA </t>
  </si>
  <si>
    <t>54.114.425/0001-50</t>
  </si>
  <si>
    <t xml:space="preserve">Leticia Deola Vieira Serviços Médicos LTDA </t>
  </si>
  <si>
    <t>58.407.468/0001-85</t>
  </si>
  <si>
    <t>Leticia Holsbaque Da Silva Ltda</t>
  </si>
  <si>
    <t>39.531.078/0001-78</t>
  </si>
  <si>
    <t>Maida Fernanda Pereira De Oliveira Ltda</t>
  </si>
  <si>
    <t>61.522.062/0001-58</t>
  </si>
  <si>
    <t>Maos Que Cuidam Ltda</t>
  </si>
  <si>
    <t>63.049.582/0001-10</t>
  </si>
  <si>
    <t>MVRC - Servicos Odontologicos Ltda</t>
  </si>
  <si>
    <t>48.770.674/0001-00</t>
  </si>
  <si>
    <t>Natale C Guedes da Silva</t>
  </si>
  <si>
    <t>54.014.269/0001-56</t>
  </si>
  <si>
    <t>Oromi Ferreira De Sousa 14175576134</t>
  </si>
  <si>
    <t>43.933.385/0001-52</t>
  </si>
  <si>
    <t>P C P De Araujo Ltda</t>
  </si>
  <si>
    <t>53.838.274/0001-10</t>
  </si>
  <si>
    <t>Primecare Representacoes Ltda</t>
  </si>
  <si>
    <t>63.031.503/0001-44</t>
  </si>
  <si>
    <t>Rafaela Pozzobon - Cirurgia Dentista Ltda</t>
  </si>
  <si>
    <t>60.488.360/0001-06</t>
  </si>
  <si>
    <t>Rafaella F de Oliveira Alves</t>
  </si>
  <si>
    <t>55.549.443/0001-28</t>
  </si>
  <si>
    <t>Silvia ferreira Da Silva</t>
  </si>
  <si>
    <t>63.068.051/0001-75</t>
  </si>
  <si>
    <t>Tatielly de Oliveira Souza LTDA</t>
  </si>
  <si>
    <t>59.959.862/0001-99</t>
  </si>
  <si>
    <t>Vinicia - Clinica De Fisioterapia Ltda</t>
  </si>
  <si>
    <t>48.624.416/0001-07</t>
  </si>
  <si>
    <t>Marcela Luzia Araujo Da Silveira</t>
  </si>
  <si>
    <t>Aylla Angelica Monte Mendes</t>
  </si>
  <si>
    <t>Dejairson Joao Araujo Da Costa</t>
  </si>
  <si>
    <t>Michela Cristina De Oliveira</t>
  </si>
  <si>
    <t>Larissa da Silva Pessoa</t>
  </si>
  <si>
    <t>Natalia Das Virgens Pacheco</t>
  </si>
  <si>
    <t>Virlei Miranda De Souza</t>
  </si>
  <si>
    <t>Maria Aparecida Vilto Da Silva</t>
  </si>
  <si>
    <t>Rafaela Soares Inacio</t>
  </si>
  <si>
    <t>Rosemeire Souza Ribeiro</t>
  </si>
  <si>
    <t>Raul Torres Marques</t>
  </si>
  <si>
    <t>Bruna Taina Santin</t>
  </si>
  <si>
    <t>Alecsandra Bezerra De Farias Bastos</t>
  </si>
  <si>
    <t>Hamanda Aparecida De Oliveira Freitas</t>
  </si>
  <si>
    <t>Thome Da Silva Guedes Neto</t>
  </si>
  <si>
    <t>Felipe Jose Siqueira Santana Do Monte</t>
  </si>
  <si>
    <t>Arle Ferreira Leocardio</t>
  </si>
  <si>
    <t>Fabricio Nunes Camargo</t>
  </si>
  <si>
    <t>Lidia Mikaelly Sousa Rodrigues</t>
  </si>
  <si>
    <t>Rosa Ferreira</t>
  </si>
  <si>
    <t>Dayane De Jesus Souza Gomes</t>
  </si>
  <si>
    <t>Nilzaete Bezerra De Farias</t>
  </si>
  <si>
    <t>Marilene Alves Conceicao</t>
  </si>
  <si>
    <t>Josiane Cristina Monte Moreira</t>
  </si>
  <si>
    <t>Aparecida Lucilene Lopes De Oliveira</t>
  </si>
  <si>
    <t>Matheus Henrique de Avelino Santos</t>
  </si>
  <si>
    <t>Naiara da Silva Rodrigues</t>
  </si>
  <si>
    <t>Kener Roger da Rocha Silva</t>
  </si>
  <si>
    <t>Andressa Bruna Costa Laranjeira</t>
  </si>
  <si>
    <t>Rosicleide Maria da Conceicao dos Santos</t>
  </si>
  <si>
    <t xml:space="preserve">Irani Francisca da Sillva </t>
  </si>
  <si>
    <t xml:space="preserve">Maria Aparecida Gomes Silva </t>
  </si>
  <si>
    <t>Marcia Silva e Souza</t>
  </si>
  <si>
    <t xml:space="preserve">Arlindo Decesaro </t>
  </si>
  <si>
    <t>Adienni Leandro Dos Santos</t>
  </si>
  <si>
    <t>Aline Lopes Moraes da Silva</t>
  </si>
  <si>
    <t>Luan Santos Bomucia</t>
  </si>
  <si>
    <t>Camila Soares dos Santos</t>
  </si>
  <si>
    <t>Cecilia Moraes Da Silva Oliveira</t>
  </si>
  <si>
    <t>Suelen Cristina Mohr</t>
  </si>
  <si>
    <t>Danielly Gonçalves da Silva</t>
  </si>
  <si>
    <t>Elaine Costa Laranjeira</t>
  </si>
  <si>
    <t xml:space="preserve">Érica da Silva Pereira </t>
  </si>
  <si>
    <t>Higor Souto Azambuja</t>
  </si>
  <si>
    <t>Joao Marcos Farias Maciel</t>
  </si>
  <si>
    <t>Francielle De Carli</t>
  </si>
  <si>
    <t>Gabriele Morais Rodrigues</t>
  </si>
  <si>
    <t xml:space="preserve">João Teotonio Arrais Neto </t>
  </si>
  <si>
    <t>Jovelina Sateles Muniz</t>
  </si>
  <si>
    <t xml:space="preserve">Laiza Caroline Ramos Martelli  </t>
  </si>
  <si>
    <t xml:space="preserve">Leticia Deola Vieira </t>
  </si>
  <si>
    <t>Leticia Holsbaque Da Silva</t>
  </si>
  <si>
    <t>Maida Fernanda Pereira De Oliveira</t>
  </si>
  <si>
    <t>Amanda De Oliveira Delfino</t>
  </si>
  <si>
    <t>Marcello Vieira Rodrigues da Cruz</t>
  </si>
  <si>
    <t>Natale Christina Guedes da Silva</t>
  </si>
  <si>
    <t>Oromi Ferreira De Sousa</t>
  </si>
  <si>
    <t>Patricia Cristina Pereira De Araujo</t>
  </si>
  <si>
    <t>Dener Amaral Freitas</t>
  </si>
  <si>
    <t>Rafaela Ferreira Pozzobon Flores</t>
  </si>
  <si>
    <t>Rafaella Ferreira de Oliveira Alves</t>
  </si>
  <si>
    <t xml:space="preserve">Tatielly de Oliveira Souza </t>
  </si>
  <si>
    <t>Vinicia Carolina Lia Halma Delmondes Soares</t>
  </si>
  <si>
    <t>Secretaria de Saúde - MAC</t>
  </si>
  <si>
    <t>Secretaria de Saúde - APS/PAB</t>
  </si>
  <si>
    <t>Motorista - Plantão</t>
  </si>
  <si>
    <t>Coordernador Administrativo - Plantão</t>
  </si>
  <si>
    <t>Técnico Administrativo II - Plantão</t>
  </si>
  <si>
    <t>Enfermeiro - Plantão</t>
  </si>
  <si>
    <t>Recepcionista - Plantão</t>
  </si>
  <si>
    <t>Serviços Gerais - Plantão</t>
  </si>
  <si>
    <t>Controlador de Frota - Plantão</t>
  </si>
  <si>
    <t>SECRETARIA MUNICIPAL DE ASSISTÊNCIA SOCIAL E HABITAÇÃO</t>
  </si>
  <si>
    <t>SECRETARIA MUNICIPAL DE CHEFIA DE GABINETE</t>
  </si>
  <si>
    <t>SECRETARIA MUNICIPAL DE CULTURA</t>
  </si>
  <si>
    <t>SECRETARIA MUNICIPAL DE OBRAS PÚBLICAS E URBANISMO</t>
  </si>
  <si>
    <t>%</t>
  </si>
  <si>
    <t>DOM AQUINO/MT, 08 DE SETEMBRO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</si>
</sst>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0.0"/>
    <numFmt numFmtId="166" formatCode="0.0%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81"/>
      <name val="Segoe UI"/>
      <family val="2"/>
    </font>
    <font>
      <b/>
      <sz val="11"/>
      <color theme="2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2"/>
      <color rgb="FF040C2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b/>
      <sz val="8"/>
      <color theme="0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</font>
    <font>
      <sz val="10"/>
      <name val="Arial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8CCE4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 style="thin">
        <color rgb="FFB8CCE4"/>
      </right>
      <top/>
      <bottom style="thin">
        <color rgb="FFB8CCE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9">
    <xf numFmtId="0" fontId="0" fillId="0" borderId="0" xfId="0"/>
    <xf numFmtId="0" fontId="2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5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0" fontId="16" fillId="7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43" fontId="11" fillId="2" borderId="14" xfId="0" applyNumberFormat="1" applyFont="1" applyFill="1" applyBorder="1" applyAlignment="1">
      <alignment horizontal="center" vertical="center" wrapText="1"/>
    </xf>
    <xf numFmtId="2" fontId="11" fillId="2" borderId="14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7" fillId="0" borderId="0" xfId="0" applyFont="1"/>
    <xf numFmtId="0" fontId="16" fillId="6" borderId="1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164" fontId="11" fillId="2" borderId="6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0" fontId="17" fillId="0" borderId="1" xfId="0" applyFont="1" applyBorder="1"/>
    <xf numFmtId="44" fontId="9" fillId="0" borderId="0" xfId="0" applyNumberFormat="1" applyFont="1"/>
    <xf numFmtId="14" fontId="18" fillId="0" borderId="1" xfId="0" applyNumberFormat="1" applyFont="1" applyBorder="1" applyAlignment="1">
      <alignment horizontal="center"/>
    </xf>
    <xf numFmtId="0" fontId="18" fillId="0" borderId="0" xfId="0" applyFont="1"/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64" fontId="11" fillId="2" borderId="1" xfId="0" applyNumberFormat="1" applyFont="1" applyFill="1" applyBorder="1"/>
    <xf numFmtId="0" fontId="19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44" fontId="19" fillId="0" borderId="0" xfId="0" applyNumberFormat="1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1" fillId="2" borderId="14" xfId="0" applyFont="1" applyFill="1" applyBorder="1" applyAlignment="1">
      <alignment horizontal="center"/>
    </xf>
    <xf numFmtId="43" fontId="11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left"/>
    </xf>
    <xf numFmtId="43" fontId="11" fillId="2" borderId="23" xfId="0" applyNumberFormat="1" applyFont="1" applyFill="1" applyBorder="1" applyAlignment="1">
      <alignment horizontal="center" vertical="center"/>
    </xf>
    <xf numFmtId="43" fontId="22" fillId="2" borderId="2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/>
    </xf>
    <xf numFmtId="43" fontId="18" fillId="0" borderId="0" xfId="0" applyNumberFormat="1" applyFont="1" applyAlignment="1">
      <alignment horizontal="center" vertical="center" wrapText="1"/>
    </xf>
    <xf numFmtId="43" fontId="18" fillId="0" borderId="0" xfId="0" applyNumberFormat="1" applyFont="1"/>
    <xf numFmtId="43" fontId="17" fillId="0" borderId="0" xfId="0" applyNumberFormat="1" applyFont="1"/>
    <xf numFmtId="44" fontId="17" fillId="0" borderId="0" xfId="1" applyFont="1" applyFill="1"/>
    <xf numFmtId="2" fontId="17" fillId="0" borderId="0" xfId="0" applyNumberFormat="1" applyFont="1"/>
    <xf numFmtId="44" fontId="17" fillId="0" borderId="14" xfId="0" applyNumberFormat="1" applyFont="1" applyBorder="1" applyAlignment="1">
      <alignment horizontal="center"/>
    </xf>
    <xf numFmtId="44" fontId="17" fillId="0" borderId="14" xfId="1" applyFont="1" applyBorder="1" applyAlignment="1">
      <alignment horizontal="center"/>
    </xf>
    <xf numFmtId="0" fontId="23" fillId="0" borderId="0" xfId="0" applyFont="1"/>
    <xf numFmtId="44" fontId="9" fillId="0" borderId="0" xfId="0" applyNumberFormat="1" applyFont="1" applyAlignment="1">
      <alignment vertical="center"/>
    </xf>
    <xf numFmtId="0" fontId="13" fillId="2" borderId="3" xfId="0" applyFont="1" applyFill="1" applyBorder="1"/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44" fontId="17" fillId="0" borderId="14" xfId="1" applyFont="1" applyBorder="1" applyAlignment="1">
      <alignment horizontal="center" vertical="center" wrapText="1"/>
    </xf>
    <xf numFmtId="44" fontId="17" fillId="0" borderId="14" xfId="1" applyFont="1" applyFill="1" applyBorder="1"/>
    <xf numFmtId="0" fontId="9" fillId="8" borderId="0" xfId="0" applyFont="1" applyFill="1"/>
    <xf numFmtId="14" fontId="17" fillId="0" borderId="1" xfId="0" applyNumberFormat="1" applyFont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43" fontId="17" fillId="0" borderId="14" xfId="0" applyNumberFormat="1" applyFont="1" applyBorder="1" applyAlignment="1">
      <alignment horizontal="center" vertical="center" wrapText="1"/>
    </xf>
    <xf numFmtId="2" fontId="20" fillId="0" borderId="9" xfId="0" applyNumberFormat="1" applyFont="1" applyBorder="1" applyAlignment="1">
      <alignment horizontal="center"/>
    </xf>
    <xf numFmtId="44" fontId="14" fillId="0" borderId="0" xfId="0" applyNumberFormat="1" applyFont="1" applyAlignment="1">
      <alignment horizontal="center" vertical="center"/>
    </xf>
    <xf numFmtId="0" fontId="17" fillId="8" borderId="1" xfId="0" applyFont="1" applyFill="1" applyBorder="1"/>
    <xf numFmtId="0" fontId="9" fillId="8" borderId="1" xfId="0" applyFont="1" applyFill="1" applyBorder="1"/>
    <xf numFmtId="0" fontId="8" fillId="8" borderId="5" xfId="0" applyFont="1" applyFill="1" applyBorder="1" applyAlignment="1">
      <alignment horizontal="center"/>
    </xf>
    <xf numFmtId="0" fontId="8" fillId="8" borderId="1" xfId="0" applyFont="1" applyFill="1" applyBorder="1"/>
    <xf numFmtId="44" fontId="8" fillId="8" borderId="1" xfId="1" applyFont="1" applyFill="1" applyBorder="1" applyAlignment="1">
      <alignment horizontal="center"/>
    </xf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5" xfId="0" applyFont="1" applyFill="1" applyBorder="1"/>
    <xf numFmtId="44" fontId="2" fillId="8" borderId="5" xfId="1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44" fontId="2" fillId="8" borderId="1" xfId="1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17" fillId="0" borderId="14" xfId="0" applyFont="1" applyBorder="1" applyAlignment="1">
      <alignment horizontal="center" vertical="center" wrapText="1"/>
    </xf>
    <xf numFmtId="44" fontId="25" fillId="0" borderId="24" xfId="1" applyFont="1" applyBorder="1" applyAlignment="1">
      <alignment horizontal="right"/>
    </xf>
    <xf numFmtId="44" fontId="25" fillId="8" borderId="24" xfId="1" applyFont="1" applyFill="1" applyBorder="1" applyAlignment="1">
      <alignment horizontal="right"/>
    </xf>
    <xf numFmtId="9" fontId="19" fillId="0" borderId="9" xfId="0" applyNumberFormat="1" applyFont="1" applyBorder="1" applyAlignment="1">
      <alignment horizontal="center" vertical="center"/>
    </xf>
    <xf numFmtId="9" fontId="9" fillId="0" borderId="0" xfId="0" applyNumberFormat="1" applyFont="1"/>
    <xf numFmtId="44" fontId="20" fillId="0" borderId="9" xfId="1" applyFont="1" applyBorder="1" applyAlignment="1">
      <alignment vertical="center"/>
    </xf>
    <xf numFmtId="44" fontId="20" fillId="0" borderId="12" xfId="1" applyFont="1" applyBorder="1" applyAlignment="1"/>
    <xf numFmtId="44" fontId="19" fillId="5" borderId="9" xfId="1" applyFont="1" applyFill="1" applyBorder="1" applyAlignment="1">
      <alignment vertical="center"/>
    </xf>
    <xf numFmtId="44" fontId="19" fillId="0" borderId="9" xfId="0" applyNumberFormat="1" applyFont="1" applyBorder="1" applyAlignment="1">
      <alignment vertical="center"/>
    </xf>
    <xf numFmtId="44" fontId="14" fillId="0" borderId="8" xfId="0" applyNumberFormat="1" applyFont="1" applyBorder="1"/>
    <xf numFmtId="14" fontId="9" fillId="0" borderId="1" xfId="0" applyNumberFormat="1" applyFont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2" fontId="9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" fillId="0" borderId="0" xfId="0" applyFont="1"/>
    <xf numFmtId="44" fontId="0" fillId="0" borderId="0" xfId="0" applyNumberFormat="1"/>
    <xf numFmtId="0" fontId="26" fillId="8" borderId="1" xfId="0" applyFont="1" applyFill="1" applyBorder="1"/>
    <xf numFmtId="0" fontId="26" fillId="8" borderId="1" xfId="0" applyFont="1" applyFill="1" applyBorder="1" applyAlignment="1">
      <alignment horizontal="center"/>
    </xf>
    <xf numFmtId="44" fontId="26" fillId="8" borderId="1" xfId="1" applyFont="1" applyFill="1" applyBorder="1" applyAlignment="1">
      <alignment horizontal="center"/>
    </xf>
    <xf numFmtId="164" fontId="26" fillId="8" borderId="16" xfId="0" applyNumberFormat="1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164" fontId="26" fillId="8" borderId="5" xfId="0" applyNumberFormat="1" applyFont="1" applyFill="1" applyBorder="1" applyAlignment="1">
      <alignment horizontal="center"/>
    </xf>
    <xf numFmtId="0" fontId="26" fillId="8" borderId="5" xfId="0" applyFont="1" applyFill="1" applyBorder="1" applyAlignment="1">
      <alignment horizontal="center"/>
    </xf>
    <xf numFmtId="0" fontId="26" fillId="8" borderId="5" xfId="0" applyFont="1" applyFill="1" applyBorder="1"/>
    <xf numFmtId="44" fontId="26" fillId="8" borderId="5" xfId="1" applyFont="1" applyFill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17" fillId="8" borderId="1" xfId="0" applyFont="1" applyFill="1" applyBorder="1" applyAlignment="1">
      <alignment horizontal="left"/>
    </xf>
    <xf numFmtId="0" fontId="8" fillId="5" borderId="16" xfId="0" applyFont="1" applyFill="1" applyBorder="1"/>
    <xf numFmtId="0" fontId="8" fillId="5" borderId="5" xfId="0" applyFont="1" applyFill="1" applyBorder="1" applyAlignment="1">
      <alignment horizontal="center"/>
    </xf>
    <xf numFmtId="44" fontId="8" fillId="5" borderId="16" xfId="1" applyFont="1" applyFill="1" applyBorder="1" applyAlignment="1">
      <alignment horizontal="center"/>
    </xf>
    <xf numFmtId="0" fontId="8" fillId="5" borderId="5" xfId="0" applyFont="1" applyFill="1" applyBorder="1"/>
    <xf numFmtId="44" fontId="8" fillId="5" borderId="5" xfId="1" applyFont="1" applyFill="1" applyBorder="1" applyAlignment="1">
      <alignment horizontal="center"/>
    </xf>
    <xf numFmtId="0" fontId="8" fillId="5" borderId="1" xfId="0" applyFont="1" applyFill="1" applyBorder="1"/>
    <xf numFmtId="164" fontId="8" fillId="5" borderId="5" xfId="0" applyNumberFormat="1" applyFont="1" applyFill="1" applyBorder="1" applyAlignment="1">
      <alignment horizontal="center"/>
    </xf>
    <xf numFmtId="44" fontId="8" fillId="5" borderId="5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166" fontId="12" fillId="0" borderId="0" xfId="2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4" fontId="14" fillId="3" borderId="0" xfId="1" applyFont="1" applyFill="1" applyAlignment="1">
      <alignment horizontal="center" vertical="center"/>
    </xf>
    <xf numFmtId="44" fontId="9" fillId="0" borderId="0" xfId="1" applyFont="1" applyAlignment="1">
      <alignment horizontal="center" vertical="center"/>
    </xf>
    <xf numFmtId="44" fontId="16" fillId="3" borderId="0" xfId="1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9" fillId="8" borderId="0" xfId="0" applyFont="1" applyFill="1" applyAlignment="1">
      <alignment horizontal="left"/>
    </xf>
    <xf numFmtId="44" fontId="11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44" fontId="14" fillId="0" borderId="0" xfId="1" applyFont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3" fontId="11" fillId="2" borderId="17" xfId="0" applyNumberFormat="1" applyFont="1" applyFill="1" applyBorder="1" applyAlignment="1">
      <alignment horizontal="center" vertical="center"/>
    </xf>
    <xf numFmtId="43" fontId="11" fillId="2" borderId="18" xfId="0" applyNumberFormat="1" applyFont="1" applyFill="1" applyBorder="1" applyAlignment="1">
      <alignment horizontal="center" vertical="center"/>
    </xf>
    <xf numFmtId="43" fontId="11" fillId="2" borderId="19" xfId="0" applyNumberFormat="1" applyFont="1" applyFill="1" applyBorder="1" applyAlignment="1">
      <alignment horizontal="center" vertical="center"/>
    </xf>
    <xf numFmtId="43" fontId="11" fillId="2" borderId="0" xfId="0" applyNumberFormat="1" applyFont="1" applyFill="1" applyAlignment="1">
      <alignment horizontal="center" vertical="center"/>
    </xf>
    <xf numFmtId="43" fontId="11" fillId="2" borderId="21" xfId="0" applyNumberFormat="1" applyFont="1" applyFill="1" applyBorder="1" applyAlignment="1">
      <alignment horizontal="center" vertical="center"/>
    </xf>
    <xf numFmtId="43" fontId="11" fillId="2" borderId="22" xfId="0" applyNumberFormat="1" applyFont="1" applyFill="1" applyBorder="1" applyAlignment="1">
      <alignment horizontal="center" vertical="center"/>
    </xf>
    <xf numFmtId="43" fontId="11" fillId="2" borderId="13" xfId="0" applyNumberFormat="1" applyFont="1" applyFill="1" applyBorder="1" applyAlignment="1">
      <alignment horizontal="center" vertical="center"/>
    </xf>
    <xf numFmtId="43" fontId="11" fillId="2" borderId="20" xfId="0" applyNumberFormat="1" applyFont="1" applyFill="1" applyBorder="1" applyAlignment="1">
      <alignment horizontal="center" vertical="center"/>
    </xf>
    <xf numFmtId="43" fontId="11" fillId="2" borderId="23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14" fillId="3" borderId="9" xfId="0" applyFont="1" applyFill="1" applyBorder="1" applyAlignment="1">
      <alignment horizontal="left" vertical="center"/>
    </xf>
    <xf numFmtId="44" fontId="14" fillId="3" borderId="9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4" fontId="20" fillId="0" borderId="9" xfId="0" applyNumberFormat="1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44" fontId="20" fillId="0" borderId="9" xfId="1" applyFont="1" applyBorder="1" applyAlignment="1">
      <alignment horizontal="center"/>
    </xf>
    <xf numFmtId="44" fontId="20" fillId="0" borderId="9" xfId="1" applyFont="1" applyFill="1" applyBorder="1" applyAlignment="1">
      <alignment horizontal="center"/>
    </xf>
    <xf numFmtId="0" fontId="20" fillId="0" borderId="9" xfId="0" applyFont="1" applyBorder="1"/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/>
    </xf>
    <xf numFmtId="44" fontId="5" fillId="0" borderId="10" xfId="1" applyFont="1" applyBorder="1" applyAlignment="1">
      <alignment horizontal="center" vertical="center"/>
    </xf>
    <xf numFmtId="44" fontId="5" fillId="0" borderId="12" xfId="1" applyFont="1" applyBorder="1" applyAlignment="1">
      <alignment horizontal="center" vertical="center"/>
    </xf>
    <xf numFmtId="44" fontId="5" fillId="0" borderId="9" xfId="1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9" fillId="0" borderId="10" xfId="0" applyNumberFormat="1" applyFont="1" applyBorder="1" applyAlignment="1">
      <alignment horizontal="center" vertical="center"/>
    </xf>
    <xf numFmtId="9" fontId="19" fillId="0" borderId="12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10" fontId="20" fillId="0" borderId="10" xfId="2" applyNumberFormat="1" applyFont="1" applyBorder="1" applyAlignment="1">
      <alignment horizontal="center"/>
    </xf>
    <xf numFmtId="10" fontId="20" fillId="0" borderId="12" xfId="2" applyNumberFormat="1" applyFont="1" applyBorder="1" applyAlignment="1">
      <alignment horizontal="center"/>
    </xf>
    <xf numFmtId="10" fontId="19" fillId="0" borderId="9" xfId="0" applyNumberFormat="1" applyFont="1" applyBorder="1" applyAlignment="1">
      <alignment horizontal="center" vertical="center"/>
    </xf>
    <xf numFmtId="44" fontId="19" fillId="0" borderId="9" xfId="0" applyNumberFormat="1" applyFont="1" applyBorder="1" applyAlignment="1">
      <alignment horizontal="center" vertical="center"/>
    </xf>
    <xf numFmtId="9" fontId="19" fillId="0" borderId="9" xfId="0" applyNumberFormat="1" applyFont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left" vertical="center"/>
    </xf>
    <xf numFmtId="0" fontId="19" fillId="5" borderId="12" xfId="0" applyFont="1" applyFill="1" applyBorder="1" applyAlignment="1">
      <alignment horizontal="left" vertical="center"/>
    </xf>
    <xf numFmtId="10" fontId="19" fillId="5" borderId="10" xfId="2" applyNumberFormat="1" applyFont="1" applyFill="1" applyBorder="1" applyAlignment="1">
      <alignment horizontal="center" vertical="center"/>
    </xf>
    <xf numFmtId="10" fontId="19" fillId="5" borderId="12" xfId="2" applyNumberFormat="1" applyFont="1" applyFill="1" applyBorder="1" applyAlignment="1">
      <alignment horizontal="center" vertical="center"/>
    </xf>
    <xf numFmtId="44" fontId="19" fillId="5" borderId="9" xfId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0">
    <dxf>
      <fill>
        <patternFill>
          <bgColor rgb="FFFFFF99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142876</xdr:colOff>
      <xdr:row>5</xdr:row>
      <xdr:rowOff>16720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372915-9807-465F-BD3B-DDA5EE53D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333376" y="0"/>
          <a:ext cx="990600" cy="969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619126</xdr:colOff>
      <xdr:row>0</xdr:row>
      <xdr:rowOff>0</xdr:rowOff>
    </xdr:from>
    <xdr:to>
      <xdr:col>1</xdr:col>
      <xdr:colOff>1527983</xdr:colOff>
      <xdr:row>5</xdr:row>
      <xdr:rowOff>4286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D6B540-FAC2-4868-ACBA-93B66829A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619126" y="0"/>
          <a:ext cx="912667" cy="892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416719</xdr:colOff>
      <xdr:row>0</xdr:row>
      <xdr:rowOff>0</xdr:rowOff>
    </xdr:from>
    <xdr:to>
      <xdr:col>1</xdr:col>
      <xdr:colOff>1329386</xdr:colOff>
      <xdr:row>4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393BC2-2ADC-4AFB-B2FE-617956039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416719" y="0"/>
          <a:ext cx="912667" cy="8929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638735</xdr:colOff>
      <xdr:row>0</xdr:row>
      <xdr:rowOff>0</xdr:rowOff>
    </xdr:from>
    <xdr:to>
      <xdr:col>1</xdr:col>
      <xdr:colOff>1559022</xdr:colOff>
      <xdr:row>5</xdr:row>
      <xdr:rowOff>308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BBA2F0-BFA0-4E81-AF34-4A3B0A931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638735" y="0"/>
          <a:ext cx="912667" cy="8929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569767</xdr:colOff>
      <xdr:row>4</xdr:row>
      <xdr:rowOff>130969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D7E17F-5D68-448C-886C-684304A759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247650" y="0"/>
          <a:ext cx="912667" cy="8929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1</xdr:col>
      <xdr:colOff>308782</xdr:colOff>
      <xdr:row>4</xdr:row>
      <xdr:rowOff>184309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1F2FFF-2EA7-40DD-9319-9E9F17415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323850" y="0"/>
          <a:ext cx="912667" cy="892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1"/>
  <sheetViews>
    <sheetView showGridLines="0" workbookViewId="0">
      <selection activeCell="M14" sqref="M14"/>
    </sheetView>
  </sheetViews>
  <sheetFormatPr defaultColWidth="8.85546875" defaultRowHeight="15" x14ac:dyDescent="0.25"/>
  <cols>
    <col min="1" max="9" width="8.85546875" style="3"/>
    <col min="10" max="10" width="12.42578125" style="3" customWidth="1"/>
    <col min="11" max="11" width="8.85546875" style="3"/>
    <col min="12" max="12" width="10" style="3" bestFit="1" customWidth="1"/>
    <col min="13" max="16384" width="8.85546875" style="3"/>
  </cols>
  <sheetData>
    <row r="1" spans="1:10" x14ac:dyDescent="0.25">
      <c r="C1" s="130" t="s">
        <v>78</v>
      </c>
      <c r="D1" s="130"/>
      <c r="E1" s="130"/>
      <c r="F1" s="130"/>
      <c r="G1" s="130"/>
      <c r="H1" s="130"/>
      <c r="I1" s="130"/>
      <c r="J1" s="130"/>
    </row>
    <row r="2" spans="1:10" x14ac:dyDescent="0.25">
      <c r="C2" s="130"/>
      <c r="D2" s="130"/>
      <c r="E2" s="130"/>
      <c r="F2" s="130"/>
      <c r="G2" s="130"/>
      <c r="H2" s="130"/>
      <c r="I2" s="130"/>
      <c r="J2" s="130"/>
    </row>
    <row r="3" spans="1:10" x14ac:dyDescent="0.25">
      <c r="C3" s="131" t="s">
        <v>86</v>
      </c>
      <c r="D3" s="131"/>
      <c r="E3" s="131"/>
      <c r="F3" s="131"/>
      <c r="G3" s="131"/>
      <c r="H3" s="131"/>
      <c r="I3" s="131"/>
      <c r="J3" s="131"/>
    </row>
    <row r="4" spans="1:10" x14ac:dyDescent="0.25">
      <c r="C4" s="132" t="s">
        <v>17</v>
      </c>
      <c r="D4" s="132"/>
      <c r="E4" s="132"/>
      <c r="F4" s="132"/>
      <c r="G4" s="132"/>
      <c r="H4" s="132"/>
      <c r="I4" s="132"/>
      <c r="J4" s="132"/>
    </row>
    <row r="5" spans="1:10" x14ac:dyDescent="0.25">
      <c r="C5" s="131" t="s">
        <v>86</v>
      </c>
      <c r="D5" s="131"/>
      <c r="E5" s="131"/>
      <c r="F5" s="131"/>
      <c r="G5" s="131"/>
      <c r="H5" s="131"/>
      <c r="I5" s="131"/>
      <c r="J5" s="131"/>
    </row>
    <row r="6" spans="1:10" x14ac:dyDescent="0.25">
      <c r="C6" s="4"/>
      <c r="D6" s="4"/>
      <c r="E6" s="4"/>
      <c r="F6" s="4"/>
      <c r="G6" s="4"/>
      <c r="H6" s="4"/>
      <c r="I6" s="4"/>
      <c r="J6" s="4"/>
    </row>
    <row r="7" spans="1:10" ht="27" customHeight="1" x14ac:dyDescent="0.25">
      <c r="A7" s="135" t="s">
        <v>130</v>
      </c>
      <c r="B7" s="135"/>
      <c r="C7" s="135"/>
      <c r="D7" s="135"/>
      <c r="E7" s="135"/>
      <c r="F7" s="135"/>
      <c r="G7" s="135"/>
      <c r="H7" s="135"/>
      <c r="I7" s="135"/>
      <c r="J7" s="135"/>
    </row>
    <row r="9" spans="1:10" x14ac:dyDescent="0.25">
      <c r="A9" s="141" t="s">
        <v>79</v>
      </c>
      <c r="B9" s="141"/>
      <c r="C9" s="141"/>
      <c r="D9" s="141"/>
      <c r="E9" s="141"/>
      <c r="F9" s="141"/>
      <c r="G9" s="141"/>
      <c r="H9" s="141"/>
      <c r="I9" s="141"/>
      <c r="J9" s="141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141" t="s">
        <v>92</v>
      </c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141" t="s">
        <v>128</v>
      </c>
      <c r="B13" s="141"/>
      <c r="C13" s="141"/>
      <c r="D13" s="141"/>
      <c r="E13" s="141"/>
      <c r="F13" s="141"/>
      <c r="G13" s="141"/>
      <c r="H13" s="141"/>
      <c r="I13" s="141"/>
      <c r="J13" s="141"/>
    </row>
    <row r="15" spans="1:10" ht="21.6" customHeight="1" x14ac:dyDescent="0.25">
      <c r="A15" s="135" t="s">
        <v>129</v>
      </c>
      <c r="B15" s="135"/>
      <c r="C15" s="135"/>
      <c r="D15" s="135"/>
      <c r="E15" s="135"/>
      <c r="F15" s="135"/>
      <c r="G15" s="135"/>
      <c r="H15" s="135"/>
      <c r="I15" s="135"/>
      <c r="J15" s="135"/>
    </row>
    <row r="19" spans="1:12" s="6" customFormat="1" ht="25.15" customHeight="1" x14ac:dyDescent="0.25">
      <c r="A19" s="136" t="s">
        <v>82</v>
      </c>
      <c r="B19" s="136"/>
      <c r="C19" s="136"/>
      <c r="D19" s="136"/>
      <c r="E19" s="136"/>
      <c r="F19" s="136"/>
      <c r="G19" s="136"/>
      <c r="H19" s="138">
        <f>SUM(H20:J23)</f>
        <v>679761.46322580648</v>
      </c>
      <c r="I19" s="138"/>
      <c r="J19" s="138"/>
    </row>
    <row r="20" spans="1:12" s="6" customFormat="1" ht="25.15" customHeight="1" x14ac:dyDescent="0.25">
      <c r="A20" s="137" t="s">
        <v>80</v>
      </c>
      <c r="B20" s="137"/>
      <c r="C20" s="137"/>
      <c r="D20" s="137"/>
      <c r="E20" s="137"/>
      <c r="F20" s="137"/>
      <c r="G20" s="137"/>
      <c r="H20" s="139">
        <v>0</v>
      </c>
      <c r="I20" s="139"/>
      <c r="J20" s="139"/>
      <c r="L20" s="7"/>
    </row>
    <row r="21" spans="1:12" s="6" customFormat="1" ht="25.15" customHeight="1" x14ac:dyDescent="0.25">
      <c r="A21" s="147" t="s">
        <v>81</v>
      </c>
      <c r="B21" s="147"/>
      <c r="C21" s="147"/>
      <c r="D21" s="147"/>
      <c r="E21" s="147"/>
      <c r="F21" s="147"/>
      <c r="G21" s="128" t="s">
        <v>369</v>
      </c>
      <c r="H21" s="145">
        <f>SUM(H22:J23)</f>
        <v>339880.73161290324</v>
      </c>
      <c r="I21" s="145"/>
      <c r="J21" s="145"/>
    </row>
    <row r="22" spans="1:12" s="6" customFormat="1" ht="25.15" customHeight="1" x14ac:dyDescent="0.25">
      <c r="A22" s="127"/>
      <c r="B22" s="146" t="s">
        <v>357</v>
      </c>
      <c r="C22" s="137"/>
      <c r="D22" s="137"/>
      <c r="E22" s="137"/>
      <c r="F22" s="137"/>
      <c r="G22" s="129">
        <f>H22/$H$21</f>
        <v>0.48889932801361019</v>
      </c>
      <c r="H22" s="139">
        <f>SUMIFS('DETALHAMENTO PJ SAUDE'!L:L,'DETALHAMENTO PJ SAUDE'!E:E,'RESUMO FATURAMENTO'!B22)</f>
        <v>166167.46129032259</v>
      </c>
      <c r="I22" s="139"/>
      <c r="J22" s="139"/>
    </row>
    <row r="23" spans="1:12" s="6" customFormat="1" ht="25.15" customHeight="1" x14ac:dyDescent="0.25">
      <c r="A23" s="127"/>
      <c r="B23" s="146" t="s">
        <v>356</v>
      </c>
      <c r="C23" s="137"/>
      <c r="D23" s="137"/>
      <c r="E23" s="137"/>
      <c r="F23" s="137"/>
      <c r="G23" s="129">
        <f>H23/$H$21</f>
        <v>0.51110067198638975</v>
      </c>
      <c r="H23" s="139">
        <f>SUMIFS('DETALHAMENTO PJ SAUDE'!L:L,'DETALHAMENTO PJ SAUDE'!E:E,'RESUMO FATURAMENTO'!B23)</f>
        <v>173713.27032258065</v>
      </c>
      <c r="I23" s="139"/>
      <c r="J23" s="139"/>
    </row>
    <row r="24" spans="1:12" s="6" customFormat="1" ht="25.15" customHeight="1" x14ac:dyDescent="0.25">
      <c r="A24" s="136" t="s">
        <v>18</v>
      </c>
      <c r="B24" s="136"/>
      <c r="C24" s="136"/>
      <c r="D24" s="136"/>
      <c r="E24" s="136"/>
      <c r="F24" s="136"/>
      <c r="G24" s="136"/>
      <c r="H24" s="140">
        <f>'DESPESA ADM'!J27</f>
        <v>49146.183434568084</v>
      </c>
      <c r="I24" s="140"/>
      <c r="J24" s="140"/>
    </row>
    <row r="25" spans="1:12" s="6" customFormat="1" ht="25.15" customHeight="1" x14ac:dyDescent="0.25">
      <c r="A25" s="127"/>
      <c r="B25" s="146" t="s">
        <v>357</v>
      </c>
      <c r="C25" s="137"/>
      <c r="D25" s="137"/>
      <c r="E25" s="137"/>
      <c r="F25" s="137"/>
      <c r="G25" s="127"/>
      <c r="H25" s="139">
        <f>$H$24*G22</f>
        <v>24027.536055593959</v>
      </c>
      <c r="I25" s="139"/>
      <c r="J25" s="139"/>
    </row>
    <row r="26" spans="1:12" s="6" customFormat="1" ht="25.15" customHeight="1" x14ac:dyDescent="0.25">
      <c r="A26" s="127"/>
      <c r="B26" s="146" t="s">
        <v>356</v>
      </c>
      <c r="C26" s="137"/>
      <c r="D26" s="137"/>
      <c r="E26" s="137"/>
      <c r="F26" s="137"/>
      <c r="G26" s="127"/>
      <c r="H26" s="139">
        <f>$H$24*G23</f>
        <v>25118.647378974125</v>
      </c>
      <c r="I26" s="139"/>
      <c r="J26" s="139"/>
    </row>
    <row r="27" spans="1:12" s="6" customFormat="1" ht="25.15" customHeight="1" x14ac:dyDescent="0.25">
      <c r="A27" s="144" t="s">
        <v>12</v>
      </c>
      <c r="B27" s="144"/>
      <c r="C27" s="144"/>
      <c r="D27" s="144"/>
      <c r="E27" s="144"/>
      <c r="F27" s="144"/>
      <c r="G27" s="144"/>
      <c r="H27" s="143">
        <f>H19+H24</f>
        <v>728907.64666037459</v>
      </c>
      <c r="I27" s="143"/>
      <c r="J27" s="143"/>
    </row>
    <row r="33" spans="1:10" s="71" customFormat="1" x14ac:dyDescent="0.25">
      <c r="A33" s="142" t="s">
        <v>370</v>
      </c>
      <c r="B33" s="142"/>
      <c r="C33" s="142"/>
      <c r="D33" s="142"/>
      <c r="E33" s="142"/>
      <c r="F33" s="142"/>
      <c r="G33" s="142"/>
      <c r="H33" s="142"/>
      <c r="I33" s="142"/>
      <c r="J33" s="142"/>
    </row>
    <row r="39" spans="1:10" x14ac:dyDescent="0.25">
      <c r="C39" s="9"/>
      <c r="D39" s="9"/>
      <c r="E39" s="9"/>
      <c r="F39" s="9"/>
      <c r="G39" s="9"/>
      <c r="H39" s="9"/>
    </row>
    <row r="40" spans="1:10" x14ac:dyDescent="0.25">
      <c r="C40" s="133" t="s">
        <v>85</v>
      </c>
      <c r="D40" s="133"/>
      <c r="E40" s="133"/>
      <c r="F40" s="133"/>
      <c r="G40" s="133"/>
      <c r="H40" s="133"/>
    </row>
    <row r="41" spans="1:10" x14ac:dyDescent="0.25">
      <c r="C41" s="134" t="s">
        <v>19</v>
      </c>
      <c r="D41" s="134"/>
      <c r="E41" s="134"/>
      <c r="F41" s="134"/>
      <c r="G41" s="134"/>
      <c r="H41" s="134"/>
    </row>
  </sheetData>
  <mergeCells count="30">
    <mergeCell ref="C5:J5"/>
    <mergeCell ref="A7:J7"/>
    <mergeCell ref="A13:J13"/>
    <mergeCell ref="A9:J9"/>
    <mergeCell ref="A27:G27"/>
    <mergeCell ref="H21:J21"/>
    <mergeCell ref="H22:J22"/>
    <mergeCell ref="B22:F22"/>
    <mergeCell ref="B23:F23"/>
    <mergeCell ref="B25:F25"/>
    <mergeCell ref="H25:J25"/>
    <mergeCell ref="B26:F26"/>
    <mergeCell ref="H26:J26"/>
    <mergeCell ref="A21:F21"/>
    <mergeCell ref="C1:J2"/>
    <mergeCell ref="C3:J3"/>
    <mergeCell ref="C4:J4"/>
    <mergeCell ref="C40:H40"/>
    <mergeCell ref="C41:H41"/>
    <mergeCell ref="A15:J15"/>
    <mergeCell ref="A19:G19"/>
    <mergeCell ref="A20:G20"/>
    <mergeCell ref="A24:G24"/>
    <mergeCell ref="H19:J19"/>
    <mergeCell ref="H20:J20"/>
    <mergeCell ref="H23:J23"/>
    <mergeCell ref="H24:J24"/>
    <mergeCell ref="A11:J11"/>
    <mergeCell ref="A33:J33"/>
    <mergeCell ref="H27:J27"/>
  </mergeCells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2435-E796-4148-905E-6455F9040F1F}">
  <sheetPr>
    <pageSetUpPr fitToPage="1"/>
  </sheetPr>
  <dimension ref="A1:Y60"/>
  <sheetViews>
    <sheetView showGridLines="0" topLeftCell="B1" zoomScale="80" zoomScaleNormal="80" workbookViewId="0">
      <selection activeCell="Y51" sqref="A1:Y51"/>
    </sheetView>
  </sheetViews>
  <sheetFormatPr defaultColWidth="9.140625" defaultRowHeight="15" x14ac:dyDescent="0.25"/>
  <cols>
    <col min="1" max="1" width="7.140625" style="3" hidden="1" customWidth="1"/>
    <col min="2" max="2" width="43.42578125" style="3" bestFit="1" customWidth="1"/>
    <col min="3" max="3" width="17.85546875" style="10" customWidth="1"/>
    <col min="4" max="4" width="26.85546875" style="3" customWidth="1"/>
    <col min="5" max="5" width="24.85546875" style="3" hidden="1" customWidth="1"/>
    <col min="6" max="6" width="17" style="3" hidden="1" customWidth="1"/>
    <col min="7" max="7" width="15.42578125" style="3" customWidth="1"/>
    <col min="8" max="8" width="6" style="3" hidden="1" customWidth="1"/>
    <col min="9" max="11" width="15.42578125" style="3" hidden="1" customWidth="1"/>
    <col min="12" max="12" width="7.85546875" style="3" hidden="1" customWidth="1"/>
    <col min="13" max="13" width="11.7109375" style="3" hidden="1" customWidth="1"/>
    <col min="14" max="14" width="15.42578125" style="3" customWidth="1"/>
    <col min="15" max="18" width="15.42578125" style="3" hidden="1" customWidth="1"/>
    <col min="19" max="19" width="12.7109375" style="3" hidden="1" customWidth="1"/>
    <col min="20" max="21" width="15.42578125" style="3" customWidth="1"/>
    <col min="22" max="22" width="11" style="3" hidden="1" customWidth="1"/>
    <col min="23" max="23" width="11.28515625" style="3" hidden="1" customWidth="1"/>
    <col min="24" max="25" width="15.42578125" style="3" customWidth="1"/>
    <col min="26" max="16384" width="9.140625" style="3"/>
  </cols>
  <sheetData>
    <row r="1" spans="1:25" ht="14.25" customHeight="1" x14ac:dyDescent="0.25">
      <c r="A1" s="10"/>
      <c r="D1" s="10"/>
      <c r="E1" s="10"/>
      <c r="F1" s="8"/>
      <c r="G1" s="10"/>
      <c r="H1" s="10"/>
      <c r="I1" s="10"/>
      <c r="J1" s="10"/>
      <c r="K1" s="11"/>
      <c r="L1" s="12"/>
    </row>
    <row r="2" spans="1:25" ht="13.9" customHeight="1" x14ac:dyDescent="0.25">
      <c r="A2" s="130" t="str">
        <f>'RESUMO FATURAMENTO'!C1</f>
        <v>PREFEITURA MUNICIPAL DE DOM AQUINO/MT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</row>
    <row r="3" spans="1:25" ht="14.25" customHeight="1" x14ac:dyDescent="0.25">
      <c r="A3" s="134" t="str">
        <f>'RESUMO FATURAMENTO'!C3</f>
        <v>TERMO DE PARCERIA Nº 001/2026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pans="1:25" ht="14.25" customHeight="1" x14ac:dyDescent="0.25">
      <c r="A4" s="149" t="str">
        <f>'RESUMO FATURAMENTO'!C4</f>
        <v>SECRETARIA MUNICIPAL DE SAÚDE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</row>
    <row r="5" spans="1:25" ht="14.25" customHeight="1" x14ac:dyDescent="0.25">
      <c r="A5" s="10"/>
      <c r="D5" s="10"/>
      <c r="E5" s="10"/>
      <c r="F5" s="8"/>
      <c r="G5" s="10"/>
      <c r="H5" s="10"/>
      <c r="I5" s="10"/>
      <c r="J5" s="10"/>
      <c r="K5" s="11"/>
      <c r="L5" s="12"/>
    </row>
    <row r="6" spans="1:25" ht="15" customHeight="1" x14ac:dyDescent="0.25">
      <c r="A6" s="135" t="str">
        <f>'RESUMO FATURAMENTO'!A20</f>
        <v xml:space="preserve">     1.1 - CLT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1:25" ht="7.15" customHeight="1" x14ac:dyDescent="0.25">
      <c r="A7" s="10"/>
      <c r="D7" s="10"/>
      <c r="E7" s="10"/>
      <c r="F7" s="8"/>
      <c r="G7" s="10"/>
      <c r="H7" s="10"/>
      <c r="I7" s="10"/>
      <c r="J7" s="10"/>
      <c r="K7" s="11"/>
      <c r="L7" s="12"/>
    </row>
    <row r="8" spans="1:25" x14ac:dyDescent="0.25">
      <c r="A8" s="150" t="str">
        <f>'RESUMO FATURAMENTO'!A9</f>
        <v>OSCIP. ORGANIZAÇÃO DE SAÚDE SÃO BENTO</v>
      </c>
      <c r="B8" s="150"/>
      <c r="C8" s="150"/>
      <c r="D8" s="150"/>
      <c r="E8" s="14"/>
      <c r="G8" s="14" t="s">
        <v>83</v>
      </c>
      <c r="H8" s="14"/>
      <c r="I8" s="14"/>
      <c r="J8" s="14"/>
      <c r="K8" s="14"/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7.15" customHeight="1" x14ac:dyDescent="0.25">
      <c r="A9" s="8"/>
      <c r="B9" s="8"/>
      <c r="D9" s="8"/>
      <c r="E9" s="10"/>
      <c r="G9" s="8"/>
      <c r="H9" s="10"/>
      <c r="I9" s="10"/>
      <c r="J9" s="10"/>
      <c r="K9" s="11"/>
      <c r="L9" s="12"/>
      <c r="M9" s="10"/>
      <c r="N9" s="10"/>
      <c r="O9" s="10"/>
      <c r="P9" s="8"/>
      <c r="Q9" s="10"/>
      <c r="R9" s="10"/>
    </row>
    <row r="10" spans="1:25" x14ac:dyDescent="0.25">
      <c r="A10" s="150" t="str">
        <f>'RESUMO FATURAMENTO'!C4</f>
        <v>SECRETARIA MUNICIPAL DE SAÚDE</v>
      </c>
      <c r="B10" s="151"/>
      <c r="C10" s="151"/>
      <c r="D10" s="151"/>
      <c r="E10" s="14"/>
      <c r="G10" s="14" t="str">
        <f>'RESUMO FATURAMENTO'!A11</f>
        <v xml:space="preserve">PROJETO FORSAÚDE – Fortalecimento da Saúde Pública Municipal   </v>
      </c>
      <c r="H10" s="14"/>
      <c r="I10" s="14"/>
      <c r="J10" s="14"/>
      <c r="K10" s="14"/>
      <c r="L10" s="12"/>
      <c r="M10" s="13"/>
      <c r="N10" s="13"/>
      <c r="O10" s="13"/>
      <c r="P10" s="14"/>
      <c r="Q10" s="14"/>
      <c r="R10" s="14"/>
    </row>
    <row r="11" spans="1:25" ht="7.15" customHeight="1" x14ac:dyDescent="0.25">
      <c r="A11" s="8"/>
      <c r="B11" s="8"/>
      <c r="D11" s="8"/>
      <c r="E11" s="10"/>
      <c r="F11" s="8"/>
      <c r="G11" s="10"/>
      <c r="H11" s="10"/>
      <c r="I11" s="10"/>
      <c r="J11" s="10"/>
      <c r="K11" s="11"/>
      <c r="L11" s="12"/>
    </row>
    <row r="12" spans="1:25" ht="24.6" customHeight="1" x14ac:dyDescent="0.25">
      <c r="A12" s="148" t="str">
        <f>'RESUMO FATURAMENTO'!A15</f>
        <v>COMPETÊNCIA. 01 A 31 DE AGOSTO DE 2026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 spans="1:25" s="22" customFormat="1" ht="80.25" customHeight="1" x14ac:dyDescent="0.25">
      <c r="A13" s="15" t="s">
        <v>31</v>
      </c>
      <c r="B13" s="16" t="s">
        <v>32</v>
      </c>
      <c r="C13" s="16" t="s">
        <v>89</v>
      </c>
      <c r="D13" s="16" t="s">
        <v>33</v>
      </c>
      <c r="E13" s="16" t="s">
        <v>34</v>
      </c>
      <c r="F13" s="16" t="s">
        <v>35</v>
      </c>
      <c r="G13" s="17" t="s">
        <v>36</v>
      </c>
      <c r="H13" s="17" t="s">
        <v>88</v>
      </c>
      <c r="I13" s="18" t="s">
        <v>37</v>
      </c>
      <c r="J13" s="18" t="s">
        <v>38</v>
      </c>
      <c r="K13" s="18" t="s">
        <v>39</v>
      </c>
      <c r="L13" s="18" t="s">
        <v>40</v>
      </c>
      <c r="M13" s="19" t="s">
        <v>41</v>
      </c>
      <c r="N13" s="19" t="s">
        <v>72</v>
      </c>
      <c r="O13" s="19" t="s">
        <v>91</v>
      </c>
      <c r="P13" s="17" t="s">
        <v>42</v>
      </c>
      <c r="Q13" s="17" t="s">
        <v>87</v>
      </c>
      <c r="R13" s="17" t="s">
        <v>114</v>
      </c>
      <c r="S13" s="20" t="s">
        <v>44</v>
      </c>
      <c r="T13" s="20" t="s">
        <v>51</v>
      </c>
      <c r="U13" s="21" t="s">
        <v>45</v>
      </c>
      <c r="V13" s="21" t="s">
        <v>46</v>
      </c>
      <c r="W13" s="21" t="s">
        <v>47</v>
      </c>
      <c r="X13" s="21" t="s">
        <v>76</v>
      </c>
      <c r="Y13" s="17" t="s">
        <v>49</v>
      </c>
    </row>
    <row r="14" spans="1:25" s="22" customFormat="1" ht="14.25" customHeight="1" x14ac:dyDescent="0.25">
      <c r="A14" s="24">
        <v>391</v>
      </c>
      <c r="B14" s="53" t="s">
        <v>93</v>
      </c>
      <c r="C14" s="24" t="s">
        <v>102</v>
      </c>
      <c r="D14" s="53" t="s">
        <v>111</v>
      </c>
      <c r="E14" s="24"/>
      <c r="F14" s="24"/>
      <c r="G14" s="69">
        <v>2896.62</v>
      </c>
      <c r="H14" s="90">
        <v>8</v>
      </c>
      <c r="I14" s="69"/>
      <c r="J14" s="69"/>
      <c r="K14" s="91"/>
      <c r="L14" s="69"/>
      <c r="M14" s="69"/>
      <c r="N14" s="69">
        <v>428.38</v>
      </c>
      <c r="O14" s="69"/>
      <c r="P14" s="69"/>
      <c r="Q14" s="92"/>
      <c r="R14" s="92"/>
      <c r="S14" s="69">
        <v>0</v>
      </c>
      <c r="T14" s="69">
        <f>SUM(I14:S14)</f>
        <v>428.38</v>
      </c>
      <c r="U14" s="69">
        <f>(T14-N14)*19.44%</f>
        <v>0</v>
      </c>
      <c r="V14" s="70">
        <v>0</v>
      </c>
      <c r="W14" s="70">
        <v>0</v>
      </c>
      <c r="X14" s="70">
        <f>(T14+U14-N14)*41.8%-(L14)</f>
        <v>0</v>
      </c>
      <c r="Y14" s="70">
        <f>SUM(T14:X14)</f>
        <v>428.38</v>
      </c>
    </row>
    <row r="15" spans="1:25" s="22" customFormat="1" ht="14.25" customHeight="1" x14ac:dyDescent="0.25">
      <c r="A15" s="24"/>
      <c r="B15" s="53" t="s">
        <v>94</v>
      </c>
      <c r="C15" s="24" t="s">
        <v>103</v>
      </c>
      <c r="D15" s="53" t="s">
        <v>111</v>
      </c>
      <c r="E15" s="24"/>
      <c r="F15" s="24"/>
      <c r="G15" s="69">
        <v>2896.62</v>
      </c>
      <c r="H15" s="90">
        <v>8</v>
      </c>
      <c r="I15" s="69"/>
      <c r="J15" s="69"/>
      <c r="K15" s="91"/>
      <c r="L15" s="69"/>
      <c r="M15" s="69"/>
      <c r="N15" s="69">
        <v>428.38</v>
      </c>
      <c r="O15" s="69"/>
      <c r="P15" s="69"/>
      <c r="Q15" s="92"/>
      <c r="R15" s="92"/>
      <c r="S15" s="69">
        <v>0</v>
      </c>
      <c r="T15" s="69">
        <f t="shared" ref="T15:T48" si="0">SUM(I15:S15)</f>
        <v>428.38</v>
      </c>
      <c r="U15" s="69">
        <f t="shared" ref="U15:U48" si="1">(T15-N15)*19.44%</f>
        <v>0</v>
      </c>
      <c r="V15" s="70">
        <v>0</v>
      </c>
      <c r="W15" s="70">
        <v>0</v>
      </c>
      <c r="X15" s="70">
        <f t="shared" ref="X15:X22" si="2">(T15+U15-N15)*41.8%-(L15)</f>
        <v>0</v>
      </c>
      <c r="Y15" s="70">
        <f t="shared" ref="Y15:Y22" si="3">SUM(T15:X15)</f>
        <v>428.38</v>
      </c>
    </row>
    <row r="16" spans="1:25" s="22" customFormat="1" ht="14.25" customHeight="1" x14ac:dyDescent="0.25">
      <c r="A16" s="24"/>
      <c r="B16" s="53" t="s">
        <v>95</v>
      </c>
      <c r="C16" s="24" t="s">
        <v>104</v>
      </c>
      <c r="D16" s="53" t="s">
        <v>111</v>
      </c>
      <c r="E16" s="24"/>
      <c r="F16" s="24"/>
      <c r="G16" s="69">
        <v>2896.62</v>
      </c>
      <c r="H16" s="90">
        <v>8</v>
      </c>
      <c r="I16" s="69"/>
      <c r="J16" s="69"/>
      <c r="K16" s="91"/>
      <c r="L16" s="69"/>
      <c r="M16" s="69"/>
      <c r="N16" s="69">
        <v>428.38</v>
      </c>
      <c r="O16" s="69"/>
      <c r="P16" s="69"/>
      <c r="Q16" s="92"/>
      <c r="R16" s="92"/>
      <c r="S16" s="69">
        <v>0</v>
      </c>
      <c r="T16" s="69">
        <f t="shared" si="0"/>
        <v>428.38</v>
      </c>
      <c r="U16" s="69">
        <f t="shared" si="1"/>
        <v>0</v>
      </c>
      <c r="V16" s="70">
        <v>0</v>
      </c>
      <c r="W16" s="70">
        <v>0</v>
      </c>
      <c r="X16" s="70">
        <f t="shared" si="2"/>
        <v>0</v>
      </c>
      <c r="Y16" s="70">
        <f t="shared" si="3"/>
        <v>428.38</v>
      </c>
    </row>
    <row r="17" spans="1:25" s="22" customFormat="1" ht="14.25" customHeight="1" x14ac:dyDescent="0.25">
      <c r="A17" s="24"/>
      <c r="B17" s="53" t="s">
        <v>96</v>
      </c>
      <c r="C17" s="24" t="s">
        <v>105</v>
      </c>
      <c r="D17" s="53" t="s">
        <v>111</v>
      </c>
      <c r="E17" s="24"/>
      <c r="F17" s="24"/>
      <c r="G17" s="69">
        <v>2896.62</v>
      </c>
      <c r="H17" s="90">
        <v>8</v>
      </c>
      <c r="I17" s="69"/>
      <c r="J17" s="69"/>
      <c r="K17" s="91"/>
      <c r="L17" s="69"/>
      <c r="M17" s="69"/>
      <c r="N17" s="69">
        <v>428.38</v>
      </c>
      <c r="O17" s="69"/>
      <c r="P17" s="69"/>
      <c r="Q17" s="92"/>
      <c r="R17" s="92"/>
      <c r="S17" s="69">
        <v>0</v>
      </c>
      <c r="T17" s="69">
        <f t="shared" si="0"/>
        <v>428.38</v>
      </c>
      <c r="U17" s="69">
        <f t="shared" si="1"/>
        <v>0</v>
      </c>
      <c r="V17" s="70">
        <v>0</v>
      </c>
      <c r="W17" s="70">
        <v>0</v>
      </c>
      <c r="X17" s="70">
        <f t="shared" si="2"/>
        <v>0</v>
      </c>
      <c r="Y17" s="70">
        <f t="shared" si="3"/>
        <v>428.38</v>
      </c>
    </row>
    <row r="18" spans="1:25" s="22" customFormat="1" ht="14.25" customHeight="1" x14ac:dyDescent="0.25">
      <c r="A18" s="24"/>
      <c r="B18" s="53" t="s">
        <v>97</v>
      </c>
      <c r="C18" s="24" t="s">
        <v>106</v>
      </c>
      <c r="D18" s="53" t="s">
        <v>111</v>
      </c>
      <c r="E18" s="24"/>
      <c r="F18" s="24"/>
      <c r="G18" s="69">
        <v>2896.62</v>
      </c>
      <c r="H18" s="90">
        <v>8</v>
      </c>
      <c r="I18" s="69"/>
      <c r="J18" s="69"/>
      <c r="K18" s="91"/>
      <c r="L18" s="69"/>
      <c r="M18" s="69"/>
      <c r="N18" s="69">
        <v>428.38</v>
      </c>
      <c r="O18" s="69"/>
      <c r="P18" s="69"/>
      <c r="Q18" s="92"/>
      <c r="R18" s="92"/>
      <c r="S18" s="69">
        <v>0</v>
      </c>
      <c r="T18" s="69">
        <f t="shared" si="0"/>
        <v>428.38</v>
      </c>
      <c r="U18" s="69">
        <f t="shared" si="1"/>
        <v>0</v>
      </c>
      <c r="V18" s="70">
        <v>0</v>
      </c>
      <c r="W18" s="70">
        <v>0</v>
      </c>
      <c r="X18" s="70">
        <f t="shared" si="2"/>
        <v>0</v>
      </c>
      <c r="Y18" s="70">
        <f t="shared" si="3"/>
        <v>428.38</v>
      </c>
    </row>
    <row r="19" spans="1:25" s="22" customFormat="1" ht="14.25" customHeight="1" x14ac:dyDescent="0.25">
      <c r="A19" s="24"/>
      <c r="B19" s="53" t="s">
        <v>98</v>
      </c>
      <c r="C19" s="24" t="s">
        <v>107</v>
      </c>
      <c r="D19" s="53" t="s">
        <v>111</v>
      </c>
      <c r="E19" s="24"/>
      <c r="F19" s="24"/>
      <c r="G19" s="69">
        <v>2896.62</v>
      </c>
      <c r="H19" s="90">
        <v>8</v>
      </c>
      <c r="I19" s="69"/>
      <c r="J19" s="69"/>
      <c r="K19" s="91"/>
      <c r="L19" s="69"/>
      <c r="M19" s="69"/>
      <c r="N19" s="69">
        <v>428.38</v>
      </c>
      <c r="O19" s="69"/>
      <c r="P19" s="69"/>
      <c r="Q19" s="92"/>
      <c r="R19" s="92"/>
      <c r="S19" s="69">
        <v>0</v>
      </c>
      <c r="T19" s="69">
        <f t="shared" si="0"/>
        <v>428.38</v>
      </c>
      <c r="U19" s="69">
        <f t="shared" si="1"/>
        <v>0</v>
      </c>
      <c r="V19" s="70">
        <v>0</v>
      </c>
      <c r="W19" s="70">
        <v>0</v>
      </c>
      <c r="X19" s="70">
        <f t="shared" si="2"/>
        <v>0</v>
      </c>
      <c r="Y19" s="70">
        <f t="shared" si="3"/>
        <v>428.38</v>
      </c>
    </row>
    <row r="20" spans="1:25" s="22" customFormat="1" ht="14.25" customHeight="1" x14ac:dyDescent="0.25">
      <c r="A20" s="24"/>
      <c r="B20" s="53" t="s">
        <v>99</v>
      </c>
      <c r="C20" s="24" t="s">
        <v>108</v>
      </c>
      <c r="D20" s="53" t="s">
        <v>111</v>
      </c>
      <c r="E20" s="24"/>
      <c r="F20" s="24"/>
      <c r="G20" s="69">
        <v>2896.62</v>
      </c>
      <c r="H20" s="90">
        <v>8</v>
      </c>
      <c r="I20" s="69"/>
      <c r="J20" s="69"/>
      <c r="K20" s="91"/>
      <c r="L20" s="69"/>
      <c r="M20" s="69"/>
      <c r="N20" s="91">
        <v>428.38</v>
      </c>
      <c r="O20" s="91"/>
      <c r="P20" s="69"/>
      <c r="Q20" s="92"/>
      <c r="R20" s="92"/>
      <c r="S20" s="69">
        <v>0</v>
      </c>
      <c r="T20" s="69">
        <f t="shared" si="0"/>
        <v>428.38</v>
      </c>
      <c r="U20" s="69">
        <f t="shared" si="1"/>
        <v>0</v>
      </c>
      <c r="V20" s="70">
        <v>0</v>
      </c>
      <c r="W20" s="70">
        <v>0</v>
      </c>
      <c r="X20" s="70">
        <f t="shared" si="2"/>
        <v>0</v>
      </c>
      <c r="Y20" s="70">
        <f t="shared" si="3"/>
        <v>428.38</v>
      </c>
    </row>
    <row r="21" spans="1:25" s="22" customFormat="1" ht="14.25" customHeight="1" x14ac:dyDescent="0.25">
      <c r="A21" s="24"/>
      <c r="B21" s="53" t="s">
        <v>100</v>
      </c>
      <c r="C21" s="24" t="s">
        <v>109</v>
      </c>
      <c r="D21" s="53" t="s">
        <v>111</v>
      </c>
      <c r="E21" s="24"/>
      <c r="F21" s="24"/>
      <c r="G21" s="69">
        <v>2896.62</v>
      </c>
      <c r="H21" s="90">
        <v>8</v>
      </c>
      <c r="I21" s="69"/>
      <c r="J21" s="69"/>
      <c r="K21" s="91"/>
      <c r="L21" s="69"/>
      <c r="M21" s="69"/>
      <c r="N21" s="91">
        <v>428.38</v>
      </c>
      <c r="O21" s="91"/>
      <c r="P21" s="69"/>
      <c r="Q21" s="92"/>
      <c r="R21" s="92"/>
      <c r="S21" s="69">
        <v>0</v>
      </c>
      <c r="T21" s="69">
        <f t="shared" si="0"/>
        <v>428.38</v>
      </c>
      <c r="U21" s="69">
        <f t="shared" si="1"/>
        <v>0</v>
      </c>
      <c r="V21" s="70">
        <v>0</v>
      </c>
      <c r="W21" s="70">
        <v>0</v>
      </c>
      <c r="X21" s="70">
        <f t="shared" si="2"/>
        <v>0</v>
      </c>
      <c r="Y21" s="70">
        <f t="shared" si="3"/>
        <v>428.38</v>
      </c>
    </row>
    <row r="22" spans="1:25" s="22" customFormat="1" ht="14.25" customHeight="1" x14ac:dyDescent="0.25">
      <c r="A22" s="24"/>
      <c r="B22" s="53" t="s">
        <v>101</v>
      </c>
      <c r="C22" s="24" t="s">
        <v>110</v>
      </c>
      <c r="D22" s="53" t="s">
        <v>111</v>
      </c>
      <c r="E22" s="24"/>
      <c r="F22" s="24"/>
      <c r="G22" s="69">
        <v>2896.62</v>
      </c>
      <c r="H22" s="90">
        <v>8</v>
      </c>
      <c r="I22" s="69"/>
      <c r="J22" s="69"/>
      <c r="K22" s="91"/>
      <c r="L22" s="69"/>
      <c r="M22" s="69"/>
      <c r="N22" s="69">
        <v>428.38</v>
      </c>
      <c r="O22" s="69"/>
      <c r="P22" s="69"/>
      <c r="Q22" s="92"/>
      <c r="R22" s="92"/>
      <c r="S22" s="69">
        <v>0</v>
      </c>
      <c r="T22" s="69">
        <f t="shared" si="0"/>
        <v>428.38</v>
      </c>
      <c r="U22" s="69">
        <f t="shared" si="1"/>
        <v>0</v>
      </c>
      <c r="V22" s="70">
        <v>0</v>
      </c>
      <c r="W22" s="70">
        <v>0</v>
      </c>
      <c r="X22" s="70">
        <f t="shared" si="2"/>
        <v>0</v>
      </c>
      <c r="Y22" s="70">
        <f t="shared" si="3"/>
        <v>428.38</v>
      </c>
    </row>
    <row r="23" spans="1:25" s="22" customFormat="1" ht="14.25" hidden="1" customHeight="1" x14ac:dyDescent="0.25">
      <c r="A23" s="24"/>
      <c r="B23" s="53"/>
      <c r="C23" s="24"/>
      <c r="D23" s="24"/>
      <c r="E23" s="24"/>
      <c r="F23" s="2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69">
        <v>0</v>
      </c>
      <c r="T23" s="69">
        <f t="shared" si="0"/>
        <v>0</v>
      </c>
      <c r="U23" s="69">
        <f t="shared" si="1"/>
        <v>0</v>
      </c>
      <c r="V23" s="70">
        <v>0</v>
      </c>
      <c r="W23" s="70">
        <v>0</v>
      </c>
      <c r="X23" s="70">
        <f t="shared" ref="X23:X48" si="4">(T23+U23)*41.8%-(L23)</f>
        <v>0</v>
      </c>
      <c r="Y23" s="70">
        <f t="shared" ref="Y23:Y48" si="5">SUM(V23:X23)</f>
        <v>0</v>
      </c>
    </row>
    <row r="24" spans="1:25" s="22" customFormat="1" ht="14.25" hidden="1" customHeight="1" x14ac:dyDescent="0.25">
      <c r="A24" s="24"/>
      <c r="B24" s="53"/>
      <c r="C24" s="24"/>
      <c r="D24" s="24"/>
      <c r="E24" s="24"/>
      <c r="F24" s="2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69">
        <v>0</v>
      </c>
      <c r="T24" s="69">
        <f t="shared" si="0"/>
        <v>0</v>
      </c>
      <c r="U24" s="69">
        <f t="shared" si="1"/>
        <v>0</v>
      </c>
      <c r="V24" s="70">
        <v>0</v>
      </c>
      <c r="W24" s="70">
        <v>0</v>
      </c>
      <c r="X24" s="70">
        <f t="shared" si="4"/>
        <v>0</v>
      </c>
      <c r="Y24" s="70">
        <f t="shared" si="5"/>
        <v>0</v>
      </c>
    </row>
    <row r="25" spans="1:25" s="22" customFormat="1" ht="14.25" hidden="1" customHeight="1" x14ac:dyDescent="0.25">
      <c r="A25" s="24"/>
      <c r="B25" s="53"/>
      <c r="C25" s="24"/>
      <c r="D25" s="24"/>
      <c r="E25" s="24"/>
      <c r="F25" s="2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69">
        <v>0</v>
      </c>
      <c r="T25" s="69">
        <f t="shared" si="0"/>
        <v>0</v>
      </c>
      <c r="U25" s="69">
        <f t="shared" si="1"/>
        <v>0</v>
      </c>
      <c r="V25" s="70">
        <v>0</v>
      </c>
      <c r="W25" s="70">
        <v>0</v>
      </c>
      <c r="X25" s="70">
        <f t="shared" si="4"/>
        <v>0</v>
      </c>
      <c r="Y25" s="70">
        <f t="shared" si="5"/>
        <v>0</v>
      </c>
    </row>
    <row r="26" spans="1:25" s="22" customFormat="1" ht="14.25" hidden="1" customHeight="1" x14ac:dyDescent="0.25">
      <c r="A26" s="24"/>
      <c r="B26" s="53"/>
      <c r="C26" s="24"/>
      <c r="D26" s="24"/>
      <c r="E26" s="24"/>
      <c r="F26" s="2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69">
        <v>0</v>
      </c>
      <c r="T26" s="69">
        <f t="shared" si="0"/>
        <v>0</v>
      </c>
      <c r="U26" s="69">
        <f t="shared" si="1"/>
        <v>0</v>
      </c>
      <c r="V26" s="70">
        <v>0</v>
      </c>
      <c r="W26" s="70">
        <v>0</v>
      </c>
      <c r="X26" s="70">
        <f t="shared" si="4"/>
        <v>0</v>
      </c>
      <c r="Y26" s="70">
        <f t="shared" si="5"/>
        <v>0</v>
      </c>
    </row>
    <row r="27" spans="1:25" s="22" customFormat="1" ht="14.25" hidden="1" customHeight="1" x14ac:dyDescent="0.25">
      <c r="A27" s="24"/>
      <c r="B27" s="53"/>
      <c r="C27" s="24"/>
      <c r="D27" s="24"/>
      <c r="E27" s="24"/>
      <c r="F27" s="2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69">
        <v>0</v>
      </c>
      <c r="T27" s="69">
        <f t="shared" si="0"/>
        <v>0</v>
      </c>
      <c r="U27" s="69">
        <f t="shared" si="1"/>
        <v>0</v>
      </c>
      <c r="V27" s="70">
        <v>0</v>
      </c>
      <c r="W27" s="70">
        <v>0</v>
      </c>
      <c r="X27" s="70">
        <f t="shared" si="4"/>
        <v>0</v>
      </c>
      <c r="Y27" s="70">
        <f t="shared" si="5"/>
        <v>0</v>
      </c>
    </row>
    <row r="28" spans="1:25" s="22" customFormat="1" ht="14.25" hidden="1" customHeight="1" x14ac:dyDescent="0.25">
      <c r="A28" s="24"/>
      <c r="B28" s="53"/>
      <c r="C28" s="24"/>
      <c r="D28" s="24"/>
      <c r="E28" s="24"/>
      <c r="F28" s="2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69">
        <v>0</v>
      </c>
      <c r="T28" s="69">
        <f t="shared" si="0"/>
        <v>0</v>
      </c>
      <c r="U28" s="69">
        <f t="shared" si="1"/>
        <v>0</v>
      </c>
      <c r="V28" s="70">
        <v>0</v>
      </c>
      <c r="W28" s="70">
        <v>0</v>
      </c>
      <c r="X28" s="70">
        <f t="shared" si="4"/>
        <v>0</v>
      </c>
      <c r="Y28" s="70">
        <f t="shared" si="5"/>
        <v>0</v>
      </c>
    </row>
    <row r="29" spans="1:25" s="22" customFormat="1" ht="14.25" hidden="1" customHeight="1" x14ac:dyDescent="0.25">
      <c r="A29" s="24"/>
      <c r="B29" s="53"/>
      <c r="C29" s="24"/>
      <c r="D29" s="24"/>
      <c r="E29" s="24"/>
      <c r="F29" s="2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69">
        <v>0</v>
      </c>
      <c r="T29" s="69">
        <f t="shared" si="0"/>
        <v>0</v>
      </c>
      <c r="U29" s="69">
        <f t="shared" si="1"/>
        <v>0</v>
      </c>
      <c r="V29" s="70">
        <v>0</v>
      </c>
      <c r="W29" s="70">
        <v>0</v>
      </c>
      <c r="X29" s="70">
        <f t="shared" si="4"/>
        <v>0</v>
      </c>
      <c r="Y29" s="70">
        <f t="shared" si="5"/>
        <v>0</v>
      </c>
    </row>
    <row r="30" spans="1:25" s="22" customFormat="1" ht="14.25" hidden="1" customHeight="1" x14ac:dyDescent="0.25">
      <c r="A30" s="24"/>
      <c r="B30" s="53"/>
      <c r="C30" s="24"/>
      <c r="D30" s="24"/>
      <c r="E30" s="24"/>
      <c r="F30" s="2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69">
        <v>0</v>
      </c>
      <c r="T30" s="69">
        <f t="shared" si="0"/>
        <v>0</v>
      </c>
      <c r="U30" s="69">
        <f t="shared" si="1"/>
        <v>0</v>
      </c>
      <c r="V30" s="70">
        <v>0</v>
      </c>
      <c r="W30" s="70">
        <v>0</v>
      </c>
      <c r="X30" s="70">
        <f t="shared" si="4"/>
        <v>0</v>
      </c>
      <c r="Y30" s="70">
        <f t="shared" si="5"/>
        <v>0</v>
      </c>
    </row>
    <row r="31" spans="1:25" s="22" customFormat="1" ht="14.25" hidden="1" customHeight="1" x14ac:dyDescent="0.25">
      <c r="A31" s="24"/>
      <c r="B31" s="53"/>
      <c r="C31" s="24"/>
      <c r="D31" s="24"/>
      <c r="E31" s="24"/>
      <c r="F31" s="2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69">
        <v>0</v>
      </c>
      <c r="T31" s="69">
        <f t="shared" si="0"/>
        <v>0</v>
      </c>
      <c r="U31" s="69">
        <f t="shared" si="1"/>
        <v>0</v>
      </c>
      <c r="V31" s="70">
        <v>0</v>
      </c>
      <c r="W31" s="70">
        <v>0</v>
      </c>
      <c r="X31" s="70">
        <f t="shared" si="4"/>
        <v>0</v>
      </c>
      <c r="Y31" s="70">
        <f t="shared" si="5"/>
        <v>0</v>
      </c>
    </row>
    <row r="32" spans="1:25" s="22" customFormat="1" ht="14.25" hidden="1" customHeight="1" x14ac:dyDescent="0.25">
      <c r="A32" s="24"/>
      <c r="B32" s="53"/>
      <c r="C32" s="24"/>
      <c r="D32" s="24"/>
      <c r="E32" s="24"/>
      <c r="F32" s="2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69">
        <v>0</v>
      </c>
      <c r="T32" s="69">
        <f t="shared" si="0"/>
        <v>0</v>
      </c>
      <c r="U32" s="69">
        <f t="shared" si="1"/>
        <v>0</v>
      </c>
      <c r="V32" s="70">
        <v>0</v>
      </c>
      <c r="W32" s="70">
        <v>0</v>
      </c>
      <c r="X32" s="70">
        <f t="shared" si="4"/>
        <v>0</v>
      </c>
      <c r="Y32" s="70">
        <f t="shared" si="5"/>
        <v>0</v>
      </c>
    </row>
    <row r="33" spans="1:25" s="22" customFormat="1" ht="14.25" hidden="1" customHeight="1" x14ac:dyDescent="0.25">
      <c r="A33" s="24"/>
      <c r="B33" s="53"/>
      <c r="C33" s="24"/>
      <c r="D33" s="24"/>
      <c r="E33" s="24"/>
      <c r="F33" s="2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69">
        <v>0</v>
      </c>
      <c r="T33" s="69">
        <f t="shared" si="0"/>
        <v>0</v>
      </c>
      <c r="U33" s="69">
        <f t="shared" si="1"/>
        <v>0</v>
      </c>
      <c r="V33" s="70">
        <v>0</v>
      </c>
      <c r="W33" s="70">
        <v>0</v>
      </c>
      <c r="X33" s="70">
        <f t="shared" si="4"/>
        <v>0</v>
      </c>
      <c r="Y33" s="70">
        <f t="shared" si="5"/>
        <v>0</v>
      </c>
    </row>
    <row r="34" spans="1:25" s="22" customFormat="1" ht="14.25" hidden="1" customHeight="1" x14ac:dyDescent="0.25">
      <c r="A34" s="24"/>
      <c r="B34" s="53"/>
      <c r="C34" s="24"/>
      <c r="D34" s="24"/>
      <c r="E34" s="24"/>
      <c r="F34" s="2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69">
        <v>0</v>
      </c>
      <c r="T34" s="69">
        <f t="shared" si="0"/>
        <v>0</v>
      </c>
      <c r="U34" s="69">
        <f t="shared" si="1"/>
        <v>0</v>
      </c>
      <c r="V34" s="70">
        <v>0</v>
      </c>
      <c r="W34" s="70">
        <v>0</v>
      </c>
      <c r="X34" s="70">
        <f t="shared" si="4"/>
        <v>0</v>
      </c>
      <c r="Y34" s="70">
        <f t="shared" si="5"/>
        <v>0</v>
      </c>
    </row>
    <row r="35" spans="1:25" s="22" customFormat="1" ht="14.25" hidden="1" customHeight="1" x14ac:dyDescent="0.25">
      <c r="A35" s="24"/>
      <c r="B35" s="53"/>
      <c r="C35" s="24"/>
      <c r="D35" s="24"/>
      <c r="E35" s="24"/>
      <c r="F35" s="2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69">
        <v>0</v>
      </c>
      <c r="T35" s="69">
        <f t="shared" si="0"/>
        <v>0</v>
      </c>
      <c r="U35" s="69">
        <f t="shared" si="1"/>
        <v>0</v>
      </c>
      <c r="V35" s="70">
        <v>0</v>
      </c>
      <c r="W35" s="70">
        <v>0</v>
      </c>
      <c r="X35" s="70">
        <f t="shared" si="4"/>
        <v>0</v>
      </c>
      <c r="Y35" s="70">
        <f t="shared" si="5"/>
        <v>0</v>
      </c>
    </row>
    <row r="36" spans="1:25" s="22" customFormat="1" ht="14.25" hidden="1" customHeight="1" x14ac:dyDescent="0.25">
      <c r="A36" s="24"/>
      <c r="B36" s="53"/>
      <c r="C36" s="24"/>
      <c r="D36" s="24"/>
      <c r="E36" s="24"/>
      <c r="F36" s="2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69">
        <v>0</v>
      </c>
      <c r="T36" s="69">
        <f t="shared" si="0"/>
        <v>0</v>
      </c>
      <c r="U36" s="69">
        <f t="shared" si="1"/>
        <v>0</v>
      </c>
      <c r="V36" s="70">
        <v>0</v>
      </c>
      <c r="W36" s="70">
        <v>0</v>
      </c>
      <c r="X36" s="70">
        <f t="shared" si="4"/>
        <v>0</v>
      </c>
      <c r="Y36" s="70">
        <f t="shared" si="5"/>
        <v>0</v>
      </c>
    </row>
    <row r="37" spans="1:25" s="22" customFormat="1" ht="14.25" hidden="1" customHeight="1" x14ac:dyDescent="0.25">
      <c r="A37" s="24"/>
      <c r="B37" s="53"/>
      <c r="C37" s="24"/>
      <c r="D37" s="24"/>
      <c r="E37" s="24"/>
      <c r="F37" s="2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69">
        <v>0</v>
      </c>
      <c r="T37" s="69">
        <f t="shared" si="0"/>
        <v>0</v>
      </c>
      <c r="U37" s="69">
        <f t="shared" si="1"/>
        <v>0</v>
      </c>
      <c r="V37" s="70">
        <v>0</v>
      </c>
      <c r="W37" s="70">
        <v>0</v>
      </c>
      <c r="X37" s="70">
        <f t="shared" si="4"/>
        <v>0</v>
      </c>
      <c r="Y37" s="70">
        <f t="shared" si="5"/>
        <v>0</v>
      </c>
    </row>
    <row r="38" spans="1:25" s="22" customFormat="1" ht="14.25" hidden="1" customHeight="1" x14ac:dyDescent="0.25">
      <c r="A38" s="24"/>
      <c r="B38" s="53"/>
      <c r="C38" s="24"/>
      <c r="D38" s="24"/>
      <c r="E38" s="24"/>
      <c r="F38" s="2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69">
        <v>0</v>
      </c>
      <c r="T38" s="69">
        <f t="shared" si="0"/>
        <v>0</v>
      </c>
      <c r="U38" s="69">
        <f t="shared" si="1"/>
        <v>0</v>
      </c>
      <c r="V38" s="70">
        <v>0</v>
      </c>
      <c r="W38" s="70">
        <v>0</v>
      </c>
      <c r="X38" s="70">
        <f t="shared" si="4"/>
        <v>0</v>
      </c>
      <c r="Y38" s="70">
        <f t="shared" si="5"/>
        <v>0</v>
      </c>
    </row>
    <row r="39" spans="1:25" s="22" customFormat="1" ht="14.25" hidden="1" customHeight="1" x14ac:dyDescent="0.25">
      <c r="A39" s="24"/>
      <c r="B39" s="53"/>
      <c r="C39" s="24"/>
      <c r="D39" s="24"/>
      <c r="E39" s="24"/>
      <c r="F39" s="2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69">
        <v>0</v>
      </c>
      <c r="T39" s="69">
        <f t="shared" si="0"/>
        <v>0</v>
      </c>
      <c r="U39" s="69">
        <f t="shared" si="1"/>
        <v>0</v>
      </c>
      <c r="V39" s="70">
        <v>0</v>
      </c>
      <c r="W39" s="70">
        <v>0</v>
      </c>
      <c r="X39" s="70">
        <f t="shared" si="4"/>
        <v>0</v>
      </c>
      <c r="Y39" s="70">
        <f t="shared" si="5"/>
        <v>0</v>
      </c>
    </row>
    <row r="40" spans="1:25" s="22" customFormat="1" ht="14.25" hidden="1" customHeight="1" x14ac:dyDescent="0.25">
      <c r="A40" s="24"/>
      <c r="B40" s="53"/>
      <c r="C40" s="24"/>
      <c r="D40" s="24"/>
      <c r="E40" s="24"/>
      <c r="F40" s="2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69">
        <v>0</v>
      </c>
      <c r="T40" s="69">
        <f t="shared" si="0"/>
        <v>0</v>
      </c>
      <c r="U40" s="69">
        <f t="shared" si="1"/>
        <v>0</v>
      </c>
      <c r="V40" s="70">
        <v>0</v>
      </c>
      <c r="W40" s="70">
        <v>0</v>
      </c>
      <c r="X40" s="70">
        <f t="shared" si="4"/>
        <v>0</v>
      </c>
      <c r="Y40" s="70">
        <f t="shared" si="5"/>
        <v>0</v>
      </c>
    </row>
    <row r="41" spans="1:25" s="22" customFormat="1" ht="14.25" hidden="1" customHeight="1" x14ac:dyDescent="0.25">
      <c r="A41" s="24"/>
      <c r="B41" s="53"/>
      <c r="C41" s="24"/>
      <c r="D41" s="24"/>
      <c r="E41" s="24"/>
      <c r="F41" s="2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69">
        <v>0</v>
      </c>
      <c r="T41" s="69">
        <f t="shared" si="0"/>
        <v>0</v>
      </c>
      <c r="U41" s="69">
        <f t="shared" si="1"/>
        <v>0</v>
      </c>
      <c r="V41" s="70">
        <v>0</v>
      </c>
      <c r="W41" s="70">
        <v>0</v>
      </c>
      <c r="X41" s="70">
        <f t="shared" si="4"/>
        <v>0</v>
      </c>
      <c r="Y41" s="70">
        <f t="shared" si="5"/>
        <v>0</v>
      </c>
    </row>
    <row r="42" spans="1:25" s="22" customFormat="1" ht="14.25" hidden="1" customHeight="1" x14ac:dyDescent="0.25">
      <c r="A42" s="24"/>
      <c r="B42" s="53"/>
      <c r="C42" s="24"/>
      <c r="D42" s="24"/>
      <c r="E42" s="24"/>
      <c r="F42" s="2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69">
        <v>0</v>
      </c>
      <c r="T42" s="69">
        <f t="shared" si="0"/>
        <v>0</v>
      </c>
      <c r="U42" s="69">
        <f t="shared" si="1"/>
        <v>0</v>
      </c>
      <c r="V42" s="70">
        <v>0</v>
      </c>
      <c r="W42" s="70">
        <v>0</v>
      </c>
      <c r="X42" s="70">
        <f t="shared" si="4"/>
        <v>0</v>
      </c>
      <c r="Y42" s="70">
        <f t="shared" si="5"/>
        <v>0</v>
      </c>
    </row>
    <row r="43" spans="1:25" s="22" customFormat="1" ht="14.25" hidden="1" customHeight="1" x14ac:dyDescent="0.25">
      <c r="A43" s="24"/>
      <c r="B43" s="53"/>
      <c r="C43" s="24"/>
      <c r="D43" s="24"/>
      <c r="E43" s="24"/>
      <c r="F43" s="2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69">
        <v>0</v>
      </c>
      <c r="T43" s="69">
        <f t="shared" si="0"/>
        <v>0</v>
      </c>
      <c r="U43" s="69">
        <f t="shared" si="1"/>
        <v>0</v>
      </c>
      <c r="V43" s="70">
        <v>0</v>
      </c>
      <c r="W43" s="70">
        <v>0</v>
      </c>
      <c r="X43" s="70">
        <f t="shared" si="4"/>
        <v>0</v>
      </c>
      <c r="Y43" s="70">
        <f t="shared" si="5"/>
        <v>0</v>
      </c>
    </row>
    <row r="44" spans="1:25" s="22" customFormat="1" ht="14.25" hidden="1" customHeight="1" x14ac:dyDescent="0.25">
      <c r="A44" s="24"/>
      <c r="B44" s="53"/>
      <c r="C44" s="24"/>
      <c r="D44" s="24"/>
      <c r="E44" s="24"/>
      <c r="F44" s="2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69">
        <v>0</v>
      </c>
      <c r="T44" s="69">
        <f t="shared" si="0"/>
        <v>0</v>
      </c>
      <c r="U44" s="69">
        <f t="shared" si="1"/>
        <v>0</v>
      </c>
      <c r="V44" s="70">
        <v>0</v>
      </c>
      <c r="W44" s="70">
        <v>0</v>
      </c>
      <c r="X44" s="70">
        <f t="shared" si="4"/>
        <v>0</v>
      </c>
      <c r="Y44" s="70">
        <f t="shared" si="5"/>
        <v>0</v>
      </c>
    </row>
    <row r="45" spans="1:25" s="22" customFormat="1" ht="14.25" hidden="1" customHeight="1" x14ac:dyDescent="0.25">
      <c r="A45" s="24"/>
      <c r="B45" s="53"/>
      <c r="C45" s="24"/>
      <c r="D45" s="24"/>
      <c r="E45" s="24"/>
      <c r="F45" s="2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69">
        <v>0</v>
      </c>
      <c r="T45" s="69">
        <f t="shared" si="0"/>
        <v>0</v>
      </c>
      <c r="U45" s="69">
        <f t="shared" si="1"/>
        <v>0</v>
      </c>
      <c r="V45" s="70">
        <v>0</v>
      </c>
      <c r="W45" s="70">
        <v>0</v>
      </c>
      <c r="X45" s="70">
        <f t="shared" si="4"/>
        <v>0</v>
      </c>
      <c r="Y45" s="70">
        <f t="shared" si="5"/>
        <v>0</v>
      </c>
    </row>
    <row r="46" spans="1:25" s="22" customFormat="1" ht="14.25" hidden="1" customHeight="1" x14ac:dyDescent="0.25">
      <c r="A46" s="24"/>
      <c r="B46" s="53"/>
      <c r="C46" s="24"/>
      <c r="D46" s="24"/>
      <c r="E46" s="24"/>
      <c r="F46" s="2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69">
        <v>0</v>
      </c>
      <c r="T46" s="69">
        <f t="shared" si="0"/>
        <v>0</v>
      </c>
      <c r="U46" s="69">
        <f t="shared" si="1"/>
        <v>0</v>
      </c>
      <c r="V46" s="70">
        <v>0</v>
      </c>
      <c r="W46" s="70">
        <v>0</v>
      </c>
      <c r="X46" s="70">
        <f t="shared" si="4"/>
        <v>0</v>
      </c>
      <c r="Y46" s="70">
        <f t="shared" si="5"/>
        <v>0</v>
      </c>
    </row>
    <row r="47" spans="1:25" s="22" customFormat="1" ht="14.25" hidden="1" customHeight="1" x14ac:dyDescent="0.25">
      <c r="A47" s="24"/>
      <c r="B47" s="53"/>
      <c r="C47" s="24"/>
      <c r="D47" s="24"/>
      <c r="E47" s="24"/>
      <c r="F47" s="2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69">
        <v>0</v>
      </c>
      <c r="T47" s="69">
        <f t="shared" si="0"/>
        <v>0</v>
      </c>
      <c r="U47" s="69">
        <f t="shared" si="1"/>
        <v>0</v>
      </c>
      <c r="V47" s="70">
        <v>0</v>
      </c>
      <c r="W47" s="70">
        <v>0</v>
      </c>
      <c r="X47" s="70">
        <f t="shared" si="4"/>
        <v>0</v>
      </c>
      <c r="Y47" s="70">
        <f t="shared" si="5"/>
        <v>0</v>
      </c>
    </row>
    <row r="48" spans="1:25" s="22" customFormat="1" ht="14.25" hidden="1" customHeight="1" x14ac:dyDescent="0.25">
      <c r="A48" s="24"/>
      <c r="B48" s="53"/>
      <c r="C48" s="24"/>
      <c r="D48" s="24"/>
      <c r="E48" s="24"/>
      <c r="F48" s="2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69">
        <v>0</v>
      </c>
      <c r="T48" s="69">
        <f t="shared" si="0"/>
        <v>0</v>
      </c>
      <c r="U48" s="69">
        <f t="shared" si="1"/>
        <v>0</v>
      </c>
      <c r="V48" s="70">
        <v>0</v>
      </c>
      <c r="W48" s="70">
        <v>0</v>
      </c>
      <c r="X48" s="70">
        <f t="shared" si="4"/>
        <v>0</v>
      </c>
      <c r="Y48" s="70">
        <f t="shared" si="5"/>
        <v>0</v>
      </c>
    </row>
    <row r="49" spans="1:25" s="22" customFormat="1" ht="14.25" hidden="1" customHeight="1" x14ac:dyDescent="0.25">
      <c r="A49" s="24">
        <v>391</v>
      </c>
      <c r="B49" s="53"/>
      <c r="C49" s="24"/>
      <c r="D49" s="24"/>
      <c r="E49" s="24"/>
      <c r="F49" s="24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>
        <v>0</v>
      </c>
      <c r="T49" s="69"/>
      <c r="U49" s="69"/>
      <c r="V49" s="70"/>
      <c r="W49" s="70"/>
      <c r="X49" s="70"/>
      <c r="Y49" s="70"/>
    </row>
    <row r="50" spans="1:25" s="22" customFormat="1" ht="14.25" hidden="1" customHeight="1" x14ac:dyDescent="0.25">
      <c r="A50" s="24">
        <v>391</v>
      </c>
      <c r="B50" s="53"/>
      <c r="C50" s="24"/>
      <c r="D50" s="24"/>
      <c r="E50" s="24"/>
      <c r="F50" s="24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>
        <v>0</v>
      </c>
      <c r="T50" s="69"/>
      <c r="U50" s="69"/>
      <c r="V50" s="70"/>
      <c r="W50" s="70"/>
      <c r="X50" s="70"/>
      <c r="Y50" s="70"/>
    </row>
    <row r="51" spans="1:25" s="22" customFormat="1" x14ac:dyDescent="0.25">
      <c r="A51" s="25"/>
      <c r="B51" s="51" t="s">
        <v>12</v>
      </c>
      <c r="C51" s="51"/>
      <c r="D51" s="51">
        <f>SUBTOTAL(3,D14:D48)</f>
        <v>9</v>
      </c>
      <c r="E51" s="51" t="s">
        <v>13</v>
      </c>
      <c r="F51" s="51" t="s">
        <v>13</v>
      </c>
      <c r="G51" s="52">
        <f>SUBTOTAL(9,G14:G48)</f>
        <v>26069.579999999994</v>
      </c>
      <c r="H51" s="52"/>
      <c r="I51" s="52">
        <f t="shared" ref="I51:P51" si="6">SUBTOTAL(9,I14:I48)</f>
        <v>0</v>
      </c>
      <c r="J51" s="52">
        <f t="shared" si="6"/>
        <v>0</v>
      </c>
      <c r="K51" s="52">
        <f t="shared" si="6"/>
        <v>0</v>
      </c>
      <c r="L51" s="52">
        <f t="shared" si="6"/>
        <v>0</v>
      </c>
      <c r="M51" s="52">
        <f t="shared" si="6"/>
        <v>0</v>
      </c>
      <c r="N51" s="52">
        <f t="shared" si="6"/>
        <v>3855.4200000000005</v>
      </c>
      <c r="O51" s="52">
        <f t="shared" si="6"/>
        <v>0</v>
      </c>
      <c r="P51" s="52">
        <f t="shared" si="6"/>
        <v>0</v>
      </c>
      <c r="Q51" s="52">
        <f t="shared" ref="Q51" si="7">SUBTOTAL(9,Q14:Q48)</f>
        <v>0</v>
      </c>
      <c r="R51" s="52">
        <f t="shared" ref="R51:Y51" si="8">SUBTOTAL(9,R14:R48)</f>
        <v>0</v>
      </c>
      <c r="S51" s="52">
        <f t="shared" si="8"/>
        <v>0</v>
      </c>
      <c r="T51" s="52">
        <f t="shared" si="8"/>
        <v>3855.4200000000005</v>
      </c>
      <c r="U51" s="52">
        <f t="shared" si="8"/>
        <v>0</v>
      </c>
      <c r="V51" s="52">
        <f t="shared" si="8"/>
        <v>0</v>
      </c>
      <c r="W51" s="52">
        <f t="shared" si="8"/>
        <v>0</v>
      </c>
      <c r="X51" s="52">
        <f t="shared" si="8"/>
        <v>0</v>
      </c>
      <c r="Y51" s="52">
        <f t="shared" si="8"/>
        <v>3855.4200000000005</v>
      </c>
    </row>
    <row r="53" spans="1:25" x14ac:dyDescent="0.25">
      <c r="Q53" s="36"/>
      <c r="T53" s="36"/>
    </row>
    <row r="55" spans="1:25" x14ac:dyDescent="0.25">
      <c r="T55" s="36"/>
    </row>
    <row r="60" spans="1:25" x14ac:dyDescent="0.25">
      <c r="D60" s="3" t="s">
        <v>74</v>
      </c>
    </row>
  </sheetData>
  <sortState xmlns:xlrd2="http://schemas.microsoft.com/office/spreadsheetml/2017/richdata2" ref="B14:Y18">
    <sortCondition ref="B14:B18"/>
  </sortState>
  <mergeCells count="7">
    <mergeCell ref="A12:Y12"/>
    <mergeCell ref="A2:Y2"/>
    <mergeCell ref="A3:Y3"/>
    <mergeCell ref="A4:Y4"/>
    <mergeCell ref="A6:Y6"/>
    <mergeCell ref="A8:D8"/>
    <mergeCell ref="A10:D10"/>
  </mergeCells>
  <conditionalFormatting sqref="B13:C13">
    <cfRule type="duplicateValues" dxfId="9" priority="4"/>
  </conditionalFormatting>
  <conditionalFormatting sqref="B51:C51">
    <cfRule type="duplicateValues" dxfId="8" priority="5"/>
  </conditionalFormatting>
  <pageMargins left="0.51181102362204722" right="0.51181102362204722" top="0.78740157480314965" bottom="0.78740157480314965" header="0.31496062992125984" footer="0.31496062992125984"/>
  <pageSetup paperSize="9" scale="75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0F07-8B84-4D07-B9C7-01FDD21530F9}">
  <sheetPr>
    <pageSetUpPr fitToPage="1"/>
  </sheetPr>
  <dimension ref="A1:U21"/>
  <sheetViews>
    <sheetView showGridLines="0" topLeftCell="B1" zoomScale="80" zoomScaleNormal="80" workbookViewId="0">
      <selection activeCell="G27" sqref="G27"/>
    </sheetView>
  </sheetViews>
  <sheetFormatPr defaultColWidth="17.42578125" defaultRowHeight="15" x14ac:dyDescent="0.25"/>
  <cols>
    <col min="1" max="1" width="13.42578125" style="25" hidden="1" customWidth="1"/>
    <col min="2" max="2" width="49.28515625" style="22" customWidth="1"/>
    <col min="3" max="3" width="29.85546875" style="25" customWidth="1"/>
    <col min="4" max="4" width="33.28515625" style="25" hidden="1" customWidth="1"/>
    <col min="5" max="5" width="36.7109375" style="25" customWidth="1"/>
    <col min="6" max="6" width="18.5703125" style="25" customWidth="1"/>
    <col min="7" max="7" width="17.5703125" style="56" customWidth="1"/>
    <col min="8" max="8" width="18" style="59" customWidth="1"/>
    <col min="9" max="10" width="18.5703125" style="59" hidden="1" customWidth="1"/>
    <col min="11" max="11" width="19.28515625" style="59" hidden="1" customWidth="1"/>
    <col min="12" max="12" width="15.85546875" style="59" hidden="1" customWidth="1"/>
    <col min="13" max="13" width="17.42578125" style="59" hidden="1" customWidth="1"/>
    <col min="14" max="14" width="17.42578125" style="61" hidden="1" customWidth="1"/>
    <col min="15" max="15" width="16" style="22" hidden="1" customWidth="1"/>
    <col min="16" max="16" width="15.28515625" style="22" hidden="1" customWidth="1"/>
    <col min="17" max="18" width="14.28515625" style="22" hidden="1" customWidth="1"/>
    <col min="19" max="19" width="18" style="22" hidden="1" customWidth="1"/>
    <col min="20" max="20" width="14" style="22" hidden="1" customWidth="1"/>
    <col min="21" max="21" width="17.28515625" style="22" customWidth="1"/>
    <col min="22" max="16384" width="17.42578125" style="22"/>
  </cols>
  <sheetData>
    <row r="1" spans="1:21" s="3" customFormat="1" ht="14.25" customHeight="1" x14ac:dyDescent="0.25">
      <c r="A1" s="10"/>
      <c r="C1" s="10"/>
      <c r="E1" s="10"/>
      <c r="F1" s="8"/>
      <c r="G1" s="10"/>
      <c r="H1" s="10"/>
      <c r="I1" s="10"/>
      <c r="J1" s="11"/>
      <c r="K1" s="10"/>
      <c r="L1" s="12"/>
    </row>
    <row r="2" spans="1:21" s="3" customFormat="1" ht="15.75" x14ac:dyDescent="0.25">
      <c r="A2" s="130" t="str">
        <f>'RESUMO FATURAMENTO'!C1</f>
        <v>PREFEITURA MUNICIPAL DE DOM AQUINO/MT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</row>
    <row r="3" spans="1:21" s="3" customFormat="1" ht="14.25" customHeight="1" x14ac:dyDescent="0.25">
      <c r="A3" s="134" t="str">
        <f>'RESUMO FATURAMENTO'!C3</f>
        <v>TERMO DE PARCERIA Nº 001/2026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</row>
    <row r="4" spans="1:21" s="3" customFormat="1" ht="14.25" customHeight="1" x14ac:dyDescent="0.25">
      <c r="A4" s="149" t="str">
        <f>'RESUMO FATURAMENTO'!C4</f>
        <v>SECRETARIA MUNICIPAL DE SAÚDE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</row>
    <row r="5" spans="1:21" s="3" customFormat="1" ht="14.25" customHeight="1" x14ac:dyDescent="0.25">
      <c r="A5" s="10"/>
      <c r="C5" s="10"/>
      <c r="E5" s="10"/>
      <c r="F5" s="8"/>
      <c r="G5" s="10"/>
      <c r="H5" s="10"/>
      <c r="I5" s="10"/>
      <c r="J5" s="11"/>
      <c r="K5" s="10"/>
      <c r="L5" s="12"/>
    </row>
    <row r="6" spans="1:21" s="3" customFormat="1" ht="15" customHeight="1" x14ac:dyDescent="0.25">
      <c r="A6" s="135" t="str">
        <f>'RESUMO FATURAMENTO'!A20</f>
        <v xml:space="preserve">     1.1 - CLT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</row>
    <row r="7" spans="1:21" s="3" customFormat="1" ht="14.25" customHeight="1" x14ac:dyDescent="0.25">
      <c r="A7" s="10"/>
      <c r="C7" s="10"/>
      <c r="E7" s="10"/>
      <c r="F7" s="8"/>
      <c r="G7" s="10"/>
      <c r="H7" s="10"/>
      <c r="I7" s="10"/>
      <c r="J7" s="11"/>
      <c r="K7" s="10"/>
      <c r="L7" s="12"/>
    </row>
    <row r="8" spans="1:21" s="3" customFormat="1" x14ac:dyDescent="0.25">
      <c r="B8" s="14" t="str">
        <f>'RESUMO FATURAMENTO'!A9</f>
        <v>OSCIP. ORGANIZAÇÃO DE SAÚDE SÃO BENTO</v>
      </c>
      <c r="C8" s="14"/>
      <c r="E8" s="14"/>
      <c r="F8" s="14" t="str">
        <f>'DETALHAMENTO CLT'!G8</f>
        <v>ÓRGÃO PARCEIRO: PREFEITURA MUNICIPAL DE DOM AQUINO/MT</v>
      </c>
      <c r="G8" s="14"/>
      <c r="H8" s="10"/>
      <c r="I8" s="10"/>
      <c r="J8" s="11"/>
      <c r="K8" s="10"/>
      <c r="L8" s="12"/>
      <c r="N8" s="14"/>
      <c r="O8" s="14"/>
      <c r="P8" s="14"/>
      <c r="Q8" s="14"/>
      <c r="R8" s="14"/>
      <c r="S8" s="14"/>
      <c r="T8" s="14"/>
      <c r="U8" s="14"/>
    </row>
    <row r="9" spans="1:21" s="3" customFormat="1" x14ac:dyDescent="0.25">
      <c r="A9" s="8"/>
      <c r="B9" s="8"/>
      <c r="C9" s="8"/>
      <c r="E9" s="10"/>
      <c r="F9" s="8"/>
      <c r="G9" s="10"/>
      <c r="H9" s="10"/>
      <c r="I9" s="10"/>
      <c r="J9" s="11"/>
      <c r="K9" s="10"/>
      <c r="L9" s="12"/>
      <c r="M9" s="10"/>
      <c r="N9" s="8"/>
      <c r="O9" s="10"/>
    </row>
    <row r="10" spans="1:21" s="3" customFormat="1" x14ac:dyDescent="0.25">
      <c r="B10" s="14" t="str">
        <f>'DETALHAMENTO CLT'!A10</f>
        <v>SECRETARIA MUNICIPAL DE SAÚDE</v>
      </c>
      <c r="E10" s="14"/>
      <c r="F10" s="14" t="str">
        <f>'RESUMO FATURAMENTO'!A11</f>
        <v xml:space="preserve">PROJETO FORSAÚDE – Fortalecimento da Saúde Pública Municipal   </v>
      </c>
      <c r="G10" s="14"/>
      <c r="H10" s="10"/>
      <c r="I10" s="10"/>
      <c r="J10" s="11"/>
      <c r="K10" s="10"/>
      <c r="L10" s="12"/>
      <c r="N10" s="13"/>
      <c r="O10" s="14"/>
    </row>
    <row r="11" spans="1:21" s="3" customFormat="1" x14ac:dyDescent="0.25">
      <c r="A11" s="8"/>
      <c r="B11" s="8"/>
      <c r="C11" s="8"/>
      <c r="E11" s="10"/>
      <c r="F11" s="8"/>
      <c r="G11" s="10"/>
      <c r="H11" s="10"/>
      <c r="I11" s="10"/>
      <c r="J11" s="11"/>
      <c r="K11" s="10"/>
      <c r="L11" s="12"/>
    </row>
    <row r="12" spans="1:21" s="3" customFormat="1" x14ac:dyDescent="0.25">
      <c r="A12" s="148" t="str">
        <f>'RESUMO FATURAMENTO'!A15</f>
        <v>COMPETÊNCIA. 01 A 31 DE AGOSTO DE 2026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</row>
    <row r="13" spans="1:21" hidden="1" x14ac:dyDescent="0.25">
      <c r="A13" s="152" t="s">
        <v>52</v>
      </c>
      <c r="B13" s="153"/>
      <c r="C13" s="153"/>
      <c r="D13" s="153"/>
      <c r="E13" s="153"/>
      <c r="F13" s="153"/>
      <c r="G13" s="153"/>
      <c r="H13" s="158" t="s">
        <v>53</v>
      </c>
      <c r="I13" s="158" t="s">
        <v>54</v>
      </c>
      <c r="J13" s="158" t="s">
        <v>55</v>
      </c>
      <c r="K13" s="158" t="s">
        <v>56</v>
      </c>
      <c r="L13" s="158" t="s">
        <v>57</v>
      </c>
      <c r="M13" s="158" t="s">
        <v>58</v>
      </c>
      <c r="N13" s="158" t="s">
        <v>59</v>
      </c>
      <c r="O13" s="158" t="s">
        <v>60</v>
      </c>
      <c r="P13" s="158" t="s">
        <v>61</v>
      </c>
      <c r="Q13" s="158" t="s">
        <v>62</v>
      </c>
      <c r="R13" s="158" t="s">
        <v>63</v>
      </c>
      <c r="S13" s="158" t="s">
        <v>64</v>
      </c>
      <c r="T13" s="158" t="s">
        <v>65</v>
      </c>
      <c r="U13" s="158" t="s">
        <v>66</v>
      </c>
    </row>
    <row r="14" spans="1:21" hidden="1" x14ac:dyDescent="0.25">
      <c r="A14" s="154"/>
      <c r="B14" s="155"/>
      <c r="C14" s="155"/>
      <c r="D14" s="155"/>
      <c r="E14" s="155"/>
      <c r="F14" s="155"/>
      <c r="G14" s="155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</row>
    <row r="15" spans="1:21" ht="22.5" hidden="1" x14ac:dyDescent="0.25">
      <c r="A15" s="156"/>
      <c r="B15" s="157"/>
      <c r="C15" s="157"/>
      <c r="D15" s="157"/>
      <c r="E15" s="157"/>
      <c r="F15" s="157"/>
      <c r="G15" s="157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55" t="s">
        <v>67</v>
      </c>
      <c r="U15" s="54" t="s">
        <v>68</v>
      </c>
    </row>
    <row r="16" spans="1:21" ht="45" x14ac:dyDescent="0.25">
      <c r="A16" s="15" t="s">
        <v>31</v>
      </c>
      <c r="B16" s="16" t="s">
        <v>32</v>
      </c>
      <c r="C16" s="16" t="s">
        <v>69</v>
      </c>
      <c r="D16" s="16" t="s">
        <v>70</v>
      </c>
      <c r="E16" s="16" t="s">
        <v>71</v>
      </c>
      <c r="F16" s="16" t="s">
        <v>35</v>
      </c>
      <c r="G16" s="17" t="s">
        <v>36</v>
      </c>
      <c r="H16" s="18" t="s">
        <v>37</v>
      </c>
      <c r="I16" s="18" t="s">
        <v>38</v>
      </c>
      <c r="J16" s="18" t="s">
        <v>39</v>
      </c>
      <c r="K16" s="18" t="s">
        <v>72</v>
      </c>
      <c r="L16" s="18" t="s">
        <v>40</v>
      </c>
      <c r="M16" s="17" t="s">
        <v>42</v>
      </c>
      <c r="N16" s="17" t="s">
        <v>43</v>
      </c>
      <c r="O16" s="20" t="s">
        <v>44</v>
      </c>
      <c r="P16" s="21" t="s">
        <v>45</v>
      </c>
      <c r="Q16" s="21" t="s">
        <v>73</v>
      </c>
      <c r="R16" s="21" t="s">
        <v>46</v>
      </c>
      <c r="S16" s="21" t="s">
        <v>47</v>
      </c>
      <c r="T16" s="21" t="s">
        <v>48</v>
      </c>
      <c r="U16" s="17" t="s">
        <v>49</v>
      </c>
    </row>
    <row r="17" spans="1:21" x14ac:dyDescent="0.25">
      <c r="A17" s="23"/>
      <c r="B17" s="53"/>
      <c r="C17" s="24"/>
      <c r="D17" s="53"/>
      <c r="E17" s="24"/>
      <c r="F17" s="24" t="s">
        <v>50</v>
      </c>
      <c r="G17" s="62"/>
      <c r="H17" s="63"/>
      <c r="I17" s="63">
        <v>0</v>
      </c>
      <c r="J17" s="63"/>
      <c r="K17" s="63">
        <v>0</v>
      </c>
      <c r="L17" s="63">
        <v>0</v>
      </c>
      <c r="M17" s="63">
        <v>0</v>
      </c>
      <c r="N17" s="63"/>
      <c r="O17" s="63">
        <v>0</v>
      </c>
      <c r="P17" s="63">
        <v>0</v>
      </c>
      <c r="Q17" s="63">
        <f>SUM(H17:N17,P17)-O17</f>
        <v>0</v>
      </c>
      <c r="R17" s="63">
        <v>0</v>
      </c>
      <c r="S17" s="63">
        <v>0</v>
      </c>
      <c r="T17" s="63">
        <v>0</v>
      </c>
      <c r="U17" s="63">
        <f>SUM(Q17:T17)</f>
        <v>0</v>
      </c>
    </row>
    <row r="18" spans="1:21" x14ac:dyDescent="0.25">
      <c r="A18" s="23"/>
      <c r="B18" s="53"/>
      <c r="C18" s="24"/>
      <c r="D18" s="53"/>
      <c r="E18" s="24"/>
      <c r="F18" s="24" t="s">
        <v>50</v>
      </c>
      <c r="G18" s="62"/>
      <c r="H18" s="63"/>
      <c r="I18" s="63">
        <v>0</v>
      </c>
      <c r="J18" s="63"/>
      <c r="K18" s="63">
        <v>0</v>
      </c>
      <c r="L18" s="63">
        <v>0</v>
      </c>
      <c r="M18" s="63">
        <v>0</v>
      </c>
      <c r="N18" s="63"/>
      <c r="O18" s="63">
        <v>0</v>
      </c>
      <c r="P18" s="63">
        <v>0</v>
      </c>
      <c r="Q18" s="63">
        <f>SUM(H18:N18,P18)-O18</f>
        <v>0</v>
      </c>
      <c r="R18" s="63">
        <v>0</v>
      </c>
      <c r="S18" s="63">
        <v>0</v>
      </c>
      <c r="T18" s="63">
        <v>0</v>
      </c>
      <c r="U18" s="63">
        <f>SUM(Q18:T18)</f>
        <v>0</v>
      </c>
    </row>
    <row r="19" spans="1:21" x14ac:dyDescent="0.25">
      <c r="A19" s="51"/>
      <c r="B19" s="51"/>
      <c r="C19" s="51">
        <f>SUBTOTAL(3,C17:C18)</f>
        <v>0</v>
      </c>
      <c r="D19" s="51" t="s">
        <v>13</v>
      </c>
      <c r="E19" s="51" t="s">
        <v>13</v>
      </c>
      <c r="F19" s="51" t="s">
        <v>13</v>
      </c>
      <c r="G19" s="52">
        <f>SUBTOTAL(9,G17:G18)</f>
        <v>0</v>
      </c>
      <c r="H19" s="52">
        <f>SUBTOTAL(9,H17:H18)</f>
        <v>0</v>
      </c>
      <c r="I19" s="52">
        <f t="shared" ref="I19:T19" si="0">SUBTOTAL(9,I18:I18)</f>
        <v>0</v>
      </c>
      <c r="J19" s="52">
        <f t="shared" si="0"/>
        <v>0</v>
      </c>
      <c r="K19" s="52">
        <f t="shared" si="0"/>
        <v>0</v>
      </c>
      <c r="L19" s="52">
        <f t="shared" si="0"/>
        <v>0</v>
      </c>
      <c r="M19" s="52">
        <f t="shared" si="0"/>
        <v>0</v>
      </c>
      <c r="N19" s="52">
        <f t="shared" si="0"/>
        <v>0</v>
      </c>
      <c r="O19" s="52">
        <f t="shared" si="0"/>
        <v>0</v>
      </c>
      <c r="P19" s="52">
        <f t="shared" si="0"/>
        <v>0</v>
      </c>
      <c r="Q19" s="52">
        <f t="shared" si="0"/>
        <v>0</v>
      </c>
      <c r="R19" s="52">
        <f t="shared" si="0"/>
        <v>0</v>
      </c>
      <c r="S19" s="52">
        <f t="shared" si="0"/>
        <v>0</v>
      </c>
      <c r="T19" s="52">
        <f t="shared" si="0"/>
        <v>0</v>
      </c>
      <c r="U19" s="52">
        <f>SUBTOTAL(9,U17:U18)</f>
        <v>0</v>
      </c>
    </row>
    <row r="20" spans="1:21" x14ac:dyDescent="0.25"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9"/>
      <c r="T20" s="59"/>
    </row>
    <row r="21" spans="1:21" x14ac:dyDescent="0.25">
      <c r="N21" s="60"/>
      <c r="O21" s="38"/>
      <c r="P21" s="38"/>
      <c r="S21" s="59"/>
    </row>
  </sheetData>
  <mergeCells count="20">
    <mergeCell ref="R13:R15"/>
    <mergeCell ref="S13:S15"/>
    <mergeCell ref="T13:T14"/>
    <mergeCell ref="U13:U14"/>
    <mergeCell ref="L13:L15"/>
    <mergeCell ref="M13:M15"/>
    <mergeCell ref="N13:N15"/>
    <mergeCell ref="O13:O15"/>
    <mergeCell ref="P13:P15"/>
    <mergeCell ref="Q13:Q15"/>
    <mergeCell ref="A2:U2"/>
    <mergeCell ref="A3:U3"/>
    <mergeCell ref="A4:U4"/>
    <mergeCell ref="A6:U6"/>
    <mergeCell ref="A12:U12"/>
    <mergeCell ref="A13:G15"/>
    <mergeCell ref="H13:H15"/>
    <mergeCell ref="I13:I15"/>
    <mergeCell ref="J13:J15"/>
    <mergeCell ref="K13:K15"/>
  </mergeCells>
  <conditionalFormatting sqref="B16">
    <cfRule type="duplicateValues" dxfId="7" priority="11"/>
  </conditionalFormatting>
  <conditionalFormatting sqref="B19">
    <cfRule type="duplicateValues" dxfId="6" priority="4"/>
  </conditionalFormatting>
  <conditionalFormatting sqref="B20:B1048576 B13:B15">
    <cfRule type="duplicateValues" dxfId="5" priority="12"/>
  </conditionalFormatting>
  <conditionalFormatting sqref="B22:B23">
    <cfRule type="duplicateValues" dxfId="4" priority="16"/>
  </conditionalFormatting>
  <conditionalFormatting sqref="F20:G1048576">
    <cfRule type="containsText" dxfId="3" priority="5" operator="containsText" text="Férias">
      <formula>NOT(ISERROR(SEARCH("Férias",F20)))</formula>
    </cfRule>
    <cfRule type="cellIs" dxfId="2" priority="6" operator="equal">
      <formula>"Afastamento"</formula>
    </cfRule>
    <cfRule type="cellIs" dxfId="1" priority="7" operator="equal">
      <formula>"Rescisão"</formula>
    </cfRule>
    <cfRule type="cellIs" dxfId="0" priority="8" operator="equal">
      <formula>"Admissão"</formula>
    </cfRule>
  </conditionalFormatting>
  <pageMargins left="0.511811024" right="0.511811024" top="0.78740157499999996" bottom="0.78740157499999996" header="0.31496062000000002" footer="0.31496062000000002"/>
  <pageSetup paperSize="9" scale="72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1031"/>
  <sheetViews>
    <sheetView showGridLines="0" tabSelected="1" topLeftCell="B1" zoomScale="85" zoomScaleNormal="85" workbookViewId="0">
      <selection activeCell="N7" sqref="N7"/>
    </sheetView>
  </sheetViews>
  <sheetFormatPr defaultColWidth="12.5703125" defaultRowHeight="15" customHeight="1" x14ac:dyDescent="0.25"/>
  <cols>
    <col min="1" max="1" width="8.7109375" style="3" hidden="1" customWidth="1"/>
    <col min="2" max="2" width="56.7109375" style="3" bestFit="1" customWidth="1"/>
    <col min="3" max="3" width="20.85546875" style="3" customWidth="1"/>
    <col min="4" max="4" width="46.7109375" style="3" bestFit="1" customWidth="1"/>
    <col min="5" max="5" width="36.140625" style="8" customWidth="1"/>
    <col min="6" max="6" width="38.85546875" style="3" customWidth="1"/>
    <col min="7" max="7" width="16.42578125" style="3" customWidth="1"/>
    <col min="8" max="8" width="17.140625" style="3" hidden="1" customWidth="1"/>
    <col min="9" max="9" width="39.5703125" style="3" hidden="1" customWidth="1"/>
    <col min="10" max="10" width="21.140625" style="3" customWidth="1"/>
    <col min="11" max="11" width="9.7109375" style="3" customWidth="1"/>
    <col min="12" max="12" width="16.28515625" style="3" customWidth="1"/>
    <col min="13" max="13" width="8.5703125" style="3" customWidth="1"/>
    <col min="14" max="14" width="9.7109375" style="3" bestFit="1" customWidth="1"/>
    <col min="15" max="15" width="10.7109375" style="3" bestFit="1" customWidth="1"/>
    <col min="16" max="17" width="8.5703125" style="3" customWidth="1"/>
    <col min="18" max="16384" width="12.5703125" style="3"/>
  </cols>
  <sheetData>
    <row r="1" spans="1:17" ht="14.25" customHeight="1" x14ac:dyDescent="0.25">
      <c r="A1" s="10"/>
      <c r="C1" s="10"/>
      <c r="F1" s="8"/>
      <c r="G1" s="10"/>
      <c r="H1" s="10"/>
      <c r="I1" s="10"/>
      <c r="J1" s="11"/>
      <c r="K1" s="10"/>
      <c r="L1" s="12"/>
    </row>
    <row r="2" spans="1:17" ht="14.25" customHeight="1" x14ac:dyDescent="0.25">
      <c r="A2" s="130" t="str">
        <f>'RESUMO FATURAMENTO'!C1</f>
        <v>PREFEITURA MUNICIPAL DE DOM AQUINO/MT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</row>
    <row r="3" spans="1:17" ht="14.25" customHeight="1" x14ac:dyDescent="0.25">
      <c r="A3" s="134" t="str">
        <f>'RESUMO FATURAMENTO'!C3</f>
        <v>TERMO DE PARCERIA Nº 001/2026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7" ht="14.25" customHeight="1" x14ac:dyDescent="0.25">
      <c r="A4" s="149" t="str">
        <f>'RESUMO FATURAMENTO'!C4</f>
        <v>SECRETARIA MUNICIPAL DE SAÚDE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</row>
    <row r="5" spans="1:17" ht="14.25" customHeight="1" x14ac:dyDescent="0.25">
      <c r="A5" s="134" t="str">
        <f>'RESUMO FATURAMENTO'!C5</f>
        <v>TERMO DE PARCERIA Nº 001/2026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</row>
    <row r="6" spans="1:17" ht="14.25" customHeight="1" x14ac:dyDescent="0.25">
      <c r="A6" s="10"/>
      <c r="C6" s="10"/>
      <c r="F6" s="8"/>
      <c r="G6" s="10"/>
      <c r="H6" s="10"/>
      <c r="I6" s="10"/>
      <c r="J6" s="11"/>
      <c r="K6" s="10"/>
      <c r="L6" s="12"/>
    </row>
    <row r="7" spans="1:17" ht="15" customHeight="1" x14ac:dyDescent="0.25">
      <c r="A7" s="135" t="str">
        <f>'RESUMO FATURAMENTO'!A21</f>
        <v xml:space="preserve">     1.2 - PJ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</row>
    <row r="8" spans="1:17" ht="14.25" customHeight="1" x14ac:dyDescent="0.25">
      <c r="A8" s="10"/>
      <c r="C8" s="10"/>
      <c r="F8" s="8"/>
      <c r="G8" s="10"/>
      <c r="H8" s="10"/>
      <c r="I8" s="10"/>
      <c r="J8" s="11"/>
      <c r="K8" s="10"/>
      <c r="L8" s="12"/>
    </row>
    <row r="9" spans="1:17" ht="14.25" customHeight="1" x14ac:dyDescent="0.25">
      <c r="A9" s="150" t="str">
        <f>'RESUMO FATURAMENTO'!A9</f>
        <v>OSCIP. ORGANIZAÇÃO DE SAÚDE SÃO BENTO</v>
      </c>
      <c r="B9" s="150"/>
      <c r="C9" s="150"/>
      <c r="E9" s="150" t="str">
        <f>'DETALHAMENTO CLT'!G8</f>
        <v>ÓRGÃO PARCEIRO: PREFEITURA MUNICIPAL DE DOM AQUINO/MT</v>
      </c>
      <c r="F9" s="150"/>
      <c r="G9" s="150"/>
      <c r="H9" s="150"/>
      <c r="I9" s="150"/>
      <c r="J9" s="150"/>
      <c r="K9" s="150"/>
      <c r="L9" s="150"/>
    </row>
    <row r="10" spans="1:17" ht="14.25" customHeight="1" x14ac:dyDescent="0.25">
      <c r="A10" s="8"/>
      <c r="B10" s="8"/>
      <c r="C10" s="8"/>
      <c r="F10" s="8"/>
      <c r="G10" s="10"/>
      <c r="H10" s="10"/>
      <c r="I10" s="10"/>
      <c r="J10" s="11"/>
      <c r="K10" s="10"/>
      <c r="L10" s="12"/>
    </row>
    <row r="11" spans="1:17" ht="14.25" customHeight="1" x14ac:dyDescent="0.25">
      <c r="A11" s="150" t="str">
        <f>'RESUMO FATURAMENTO'!C4</f>
        <v>SECRETARIA MUNICIPAL DE SAÚDE</v>
      </c>
      <c r="B11" s="151"/>
      <c r="C11" s="151"/>
      <c r="E11" s="150" t="str">
        <f>'RESUMO FATURAMENTO'!A11</f>
        <v xml:space="preserve">PROJETO FORSAÚDE – Fortalecimento da Saúde Pública Municipal   </v>
      </c>
      <c r="F11" s="150"/>
      <c r="G11" s="150"/>
      <c r="H11" s="150"/>
      <c r="I11" s="150"/>
      <c r="J11" s="150"/>
      <c r="K11" s="150"/>
      <c r="L11" s="150"/>
    </row>
    <row r="12" spans="1:17" ht="14.25" customHeight="1" x14ac:dyDescent="0.25">
      <c r="A12" s="8"/>
      <c r="B12" s="8"/>
      <c r="C12" s="8"/>
      <c r="F12" s="8"/>
      <c r="G12" s="10"/>
      <c r="H12" s="10"/>
      <c r="I12" s="10"/>
      <c r="J12" s="11"/>
      <c r="K12" s="10"/>
      <c r="L12" s="12"/>
    </row>
    <row r="13" spans="1:17" ht="14.25" customHeight="1" x14ac:dyDescent="0.25">
      <c r="A13" s="161" t="str">
        <f>'RESUMO FATURAMENTO'!A15</f>
        <v>COMPETÊNCIA. 01 A 31 DE AGOSTO DE 2026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</row>
    <row r="14" spans="1:17" ht="14.25" customHeight="1" x14ac:dyDescent="0.25">
      <c r="A14" s="26" t="s">
        <v>0</v>
      </c>
      <c r="B14" s="26" t="s">
        <v>1</v>
      </c>
      <c r="C14" s="26" t="s">
        <v>2</v>
      </c>
      <c r="D14" s="26" t="s">
        <v>3</v>
      </c>
      <c r="E14" s="26" t="s">
        <v>160</v>
      </c>
      <c r="F14" s="26" t="s">
        <v>4</v>
      </c>
      <c r="G14" s="26" t="s">
        <v>14</v>
      </c>
      <c r="H14" s="26" t="s">
        <v>5</v>
      </c>
      <c r="I14" s="26" t="s">
        <v>6</v>
      </c>
      <c r="J14" s="27" t="s">
        <v>7</v>
      </c>
      <c r="K14" s="26" t="s">
        <v>8</v>
      </c>
      <c r="L14" s="27" t="s">
        <v>9</v>
      </c>
      <c r="M14" s="13"/>
      <c r="N14" s="13"/>
      <c r="O14" s="13"/>
      <c r="P14" s="13"/>
      <c r="Q14" s="13"/>
    </row>
    <row r="15" spans="1:17" ht="13.9" customHeight="1" x14ac:dyDescent="0.25">
      <c r="A15" s="28"/>
      <c r="B15" s="77" t="s">
        <v>161</v>
      </c>
      <c r="C15" s="28" t="s">
        <v>162</v>
      </c>
      <c r="D15" s="29" t="s">
        <v>293</v>
      </c>
      <c r="E15" s="100" t="s">
        <v>356</v>
      </c>
      <c r="F15" s="73" t="s">
        <v>151</v>
      </c>
      <c r="G15" s="32" t="str">
        <f>IFERROR(VLOOKUP(F15,'Referencia PT'!D:F,2,FALSE),"-")</f>
        <v>Serviço Mensal</v>
      </c>
      <c r="H15" s="28"/>
      <c r="I15" s="30" t="s">
        <v>77</v>
      </c>
      <c r="J15" s="33">
        <f>IFERROR(VLOOKUP(F15,'Referencia PT'!D:F,3,FALSE),"0")</f>
        <v>2600</v>
      </c>
      <c r="K15" s="28">
        <v>31</v>
      </c>
      <c r="L15" s="34">
        <f t="shared" ref="L15:L48" si="0">IF(G15="SERVIÇO MENSAL",((J15/31)*K15),(J15*K15))</f>
        <v>2600</v>
      </c>
    </row>
    <row r="16" spans="1:17" ht="13.9" customHeight="1" x14ac:dyDescent="0.25">
      <c r="A16" s="28"/>
      <c r="B16" s="77" t="s">
        <v>161</v>
      </c>
      <c r="C16" s="28" t="s">
        <v>162</v>
      </c>
      <c r="D16" s="29" t="s">
        <v>293</v>
      </c>
      <c r="E16" s="100" t="s">
        <v>356</v>
      </c>
      <c r="F16" s="73" t="s">
        <v>358</v>
      </c>
      <c r="G16" s="32" t="str">
        <f>IFERROR(VLOOKUP(F16,'Referencia PT'!D:F,2,FALSE),"-")</f>
        <v>Demanda</v>
      </c>
      <c r="H16" s="28"/>
      <c r="I16" s="30" t="s">
        <v>77</v>
      </c>
      <c r="J16" s="33">
        <f>IFERROR(VLOOKUP(F16,'Referencia PT'!D:F,3,FALSE),"0")</f>
        <v>87</v>
      </c>
      <c r="K16" s="28">
        <v>1</v>
      </c>
      <c r="L16" s="34">
        <f t="shared" si="0"/>
        <v>87</v>
      </c>
    </row>
    <row r="17" spans="1:15" ht="14.25" customHeight="1" x14ac:dyDescent="0.25">
      <c r="A17" s="28"/>
      <c r="B17" s="77" t="s">
        <v>163</v>
      </c>
      <c r="C17" s="28" t="s">
        <v>164</v>
      </c>
      <c r="D17" s="29" t="s">
        <v>294</v>
      </c>
      <c r="E17" s="100" t="s">
        <v>357</v>
      </c>
      <c r="F17" s="31" t="s">
        <v>154</v>
      </c>
      <c r="G17" s="32" t="str">
        <f>IFERROR(VLOOKUP(F17,'Referencia PT'!D:F,2,FALSE),"-")</f>
        <v>Serviço Mensal</v>
      </c>
      <c r="H17" s="28"/>
      <c r="I17" s="30"/>
      <c r="J17" s="33">
        <f>IFERROR(VLOOKUP(F17,'Referencia PT'!D:F,3,FALSE),"0")</f>
        <v>1800</v>
      </c>
      <c r="K17" s="28">
        <v>31</v>
      </c>
      <c r="L17" s="34">
        <f t="shared" si="0"/>
        <v>1800</v>
      </c>
    </row>
    <row r="18" spans="1:15" ht="14.25" customHeight="1" x14ac:dyDescent="0.25">
      <c r="A18" s="28"/>
      <c r="B18" s="77" t="s">
        <v>165</v>
      </c>
      <c r="C18" s="28" t="s">
        <v>166</v>
      </c>
      <c r="D18" s="29" t="s">
        <v>295</v>
      </c>
      <c r="E18" s="100" t="s">
        <v>356</v>
      </c>
      <c r="F18" s="31" t="s">
        <v>137</v>
      </c>
      <c r="G18" s="32" t="str">
        <f>IFERROR(VLOOKUP(F18,'Referencia PT'!D:F,2,FALSE),"-")</f>
        <v>Serviço Mensal</v>
      </c>
      <c r="H18" s="28"/>
      <c r="I18" s="30"/>
      <c r="J18" s="33">
        <f>IFERROR(VLOOKUP(F18,'Referencia PT'!D:F,3,FALSE),"0")</f>
        <v>4000</v>
      </c>
      <c r="K18" s="28">
        <v>31</v>
      </c>
      <c r="L18" s="34">
        <f t="shared" ref="L18" si="1">IF(G18="SERVIÇO MENSAL",((J18/31)*K18),(J18*K18))</f>
        <v>4000</v>
      </c>
      <c r="O18" s="36"/>
    </row>
    <row r="19" spans="1:15" ht="14.25" customHeight="1" x14ac:dyDescent="0.25">
      <c r="A19" s="28"/>
      <c r="B19" s="77" t="s">
        <v>165</v>
      </c>
      <c r="C19" s="28" t="s">
        <v>166</v>
      </c>
      <c r="D19" s="29" t="s">
        <v>295</v>
      </c>
      <c r="E19" s="100" t="s">
        <v>356</v>
      </c>
      <c r="F19" s="31" t="s">
        <v>364</v>
      </c>
      <c r="G19" s="32" t="str">
        <f>IFERROR(VLOOKUP(F19,'Referencia PT'!D:F,2,FALSE),"-")</f>
        <v>Demanda</v>
      </c>
      <c r="H19" s="28"/>
      <c r="I19" s="30"/>
      <c r="J19" s="33">
        <f>IFERROR(VLOOKUP(F19,'Referencia PT'!D:F,3,FALSE),"0")</f>
        <v>129.03225806451613</v>
      </c>
      <c r="K19" s="28">
        <v>7.75</v>
      </c>
      <c r="L19" s="34">
        <f t="shared" si="0"/>
        <v>1000</v>
      </c>
      <c r="N19" s="36"/>
      <c r="O19" s="36"/>
    </row>
    <row r="20" spans="1:15" ht="14.25" customHeight="1" x14ac:dyDescent="0.25">
      <c r="A20" s="28">
        <v>2</v>
      </c>
      <c r="B20" s="78" t="s">
        <v>167</v>
      </c>
      <c r="C20" s="28" t="s">
        <v>168</v>
      </c>
      <c r="D20" s="29" t="s">
        <v>296</v>
      </c>
      <c r="E20" s="100" t="s">
        <v>357</v>
      </c>
      <c r="F20" s="73" t="s">
        <v>154</v>
      </c>
      <c r="G20" s="32" t="str">
        <f>IFERROR(VLOOKUP(F20,'Referencia PT'!D:F,2,FALSE),"-")</f>
        <v>Serviço Mensal</v>
      </c>
      <c r="H20" s="28"/>
      <c r="I20" s="30"/>
      <c r="J20" s="33">
        <f>IFERROR(VLOOKUP(F20,'Referencia PT'!D:F,3,FALSE),"0")</f>
        <v>1800</v>
      </c>
      <c r="K20" s="28">
        <v>31</v>
      </c>
      <c r="L20" s="34">
        <f t="shared" si="0"/>
        <v>1800</v>
      </c>
    </row>
    <row r="21" spans="1:15" ht="14.25" customHeight="1" x14ac:dyDescent="0.25">
      <c r="A21" s="28">
        <v>2</v>
      </c>
      <c r="B21" s="78" t="s">
        <v>169</v>
      </c>
      <c r="C21" s="28" t="s">
        <v>170</v>
      </c>
      <c r="D21" s="29" t="s">
        <v>297</v>
      </c>
      <c r="E21" s="100" t="s">
        <v>357</v>
      </c>
      <c r="F21" s="73" t="s">
        <v>141</v>
      </c>
      <c r="G21" s="32" t="str">
        <f>IFERROR(VLOOKUP(F21,'Referencia PT'!D:F,2,FALSE),"-")</f>
        <v>Serviço Mensal</v>
      </c>
      <c r="H21" s="28"/>
      <c r="I21" s="30"/>
      <c r="J21" s="33">
        <f>IFERROR(VLOOKUP(F21,'Referencia PT'!D:F,3,FALSE),"0")</f>
        <v>3300</v>
      </c>
      <c r="K21" s="28">
        <v>31</v>
      </c>
      <c r="L21" s="34">
        <f t="shared" si="0"/>
        <v>3300</v>
      </c>
    </row>
    <row r="22" spans="1:15" ht="13.9" customHeight="1" x14ac:dyDescent="0.25">
      <c r="A22" s="28">
        <v>6</v>
      </c>
      <c r="B22" s="78" t="s">
        <v>171</v>
      </c>
      <c r="C22" s="28" t="s">
        <v>172</v>
      </c>
      <c r="D22" s="29" t="s">
        <v>298</v>
      </c>
      <c r="E22" s="100" t="s">
        <v>357</v>
      </c>
      <c r="F22" s="73" t="s">
        <v>150</v>
      </c>
      <c r="G22" s="32" t="str">
        <f>IFERROR(VLOOKUP(F22,'Referencia PT'!D:F,2,FALSE),"-")</f>
        <v>Serviço Mensal</v>
      </c>
      <c r="H22" s="28"/>
      <c r="I22" s="30"/>
      <c r="J22" s="33">
        <f>IFERROR(VLOOKUP(F22,'Referencia PT'!D:F,3,FALSE),"0")</f>
        <v>2400</v>
      </c>
      <c r="K22" s="28">
        <v>31</v>
      </c>
      <c r="L22" s="34">
        <f t="shared" si="0"/>
        <v>2400</v>
      </c>
    </row>
    <row r="23" spans="1:15" ht="13.9" customHeight="1" x14ac:dyDescent="0.25">
      <c r="A23" s="28">
        <v>6</v>
      </c>
      <c r="B23" s="78" t="s">
        <v>171</v>
      </c>
      <c r="C23" s="28" t="s">
        <v>172</v>
      </c>
      <c r="D23" s="29" t="s">
        <v>298</v>
      </c>
      <c r="E23" s="100" t="s">
        <v>357</v>
      </c>
      <c r="F23" s="73" t="s">
        <v>358</v>
      </c>
      <c r="G23" s="32" t="str">
        <f>IFERROR(VLOOKUP(F23,'Referencia PT'!D:F,2,FALSE),"-")</f>
        <v>Demanda</v>
      </c>
      <c r="H23" s="28"/>
      <c r="I23" s="30"/>
      <c r="J23" s="33">
        <f>IFERROR(VLOOKUP(F23,'Referencia PT'!D:F,3,FALSE),"0")</f>
        <v>87</v>
      </c>
      <c r="K23" s="103">
        <v>3</v>
      </c>
      <c r="L23" s="34">
        <f t="shared" si="0"/>
        <v>261</v>
      </c>
      <c r="N23" s="36"/>
    </row>
    <row r="24" spans="1:15" ht="13.9" customHeight="1" x14ac:dyDescent="0.25">
      <c r="A24" s="28">
        <v>6</v>
      </c>
      <c r="B24" s="78" t="s">
        <v>173</v>
      </c>
      <c r="C24" s="28" t="s">
        <v>174</v>
      </c>
      <c r="D24" s="29" t="s">
        <v>299</v>
      </c>
      <c r="E24" s="100" t="s">
        <v>357</v>
      </c>
      <c r="F24" s="72" t="s">
        <v>150</v>
      </c>
      <c r="G24" s="32" t="str">
        <f>IFERROR(VLOOKUP(F24,'Referencia PT'!D:F,2,FALSE),"-")</f>
        <v>Serviço Mensal</v>
      </c>
      <c r="H24" s="28"/>
      <c r="I24" s="30"/>
      <c r="J24" s="33">
        <f>IFERROR(VLOOKUP(F24,'Referencia PT'!D:F,3,FALSE),"0")</f>
        <v>2400</v>
      </c>
      <c r="K24" s="28">
        <v>31</v>
      </c>
      <c r="L24" s="34">
        <f t="shared" si="0"/>
        <v>2400</v>
      </c>
    </row>
    <row r="25" spans="1:15" ht="13.9" customHeight="1" x14ac:dyDescent="0.25">
      <c r="A25" s="28">
        <v>6</v>
      </c>
      <c r="B25" s="78" t="s">
        <v>175</v>
      </c>
      <c r="C25" s="28" t="s">
        <v>176</v>
      </c>
      <c r="D25" s="29" t="s">
        <v>300</v>
      </c>
      <c r="E25" s="100" t="s">
        <v>356</v>
      </c>
      <c r="F25" s="73" t="s">
        <v>131</v>
      </c>
      <c r="G25" s="32" t="str">
        <f>IFERROR(VLOOKUP(F25,'Referencia PT'!D:F,2,FALSE),"-")</f>
        <v>Serviço Mensal</v>
      </c>
      <c r="H25" s="28"/>
      <c r="I25" s="30"/>
      <c r="J25" s="33">
        <f>IFERROR(VLOOKUP(F25,'Referencia PT'!D:F,3,FALSE),"0")</f>
        <v>2500</v>
      </c>
      <c r="K25" s="28">
        <v>31</v>
      </c>
      <c r="L25" s="34">
        <f t="shared" si="0"/>
        <v>2500</v>
      </c>
    </row>
    <row r="26" spans="1:15" ht="14.25" customHeight="1" x14ac:dyDescent="0.25">
      <c r="A26" s="28">
        <v>8</v>
      </c>
      <c r="B26" s="78" t="s">
        <v>177</v>
      </c>
      <c r="C26" s="28" t="s">
        <v>178</v>
      </c>
      <c r="D26" s="29" t="s">
        <v>301</v>
      </c>
      <c r="E26" s="100" t="s">
        <v>357</v>
      </c>
      <c r="F26" s="73" t="s">
        <v>133</v>
      </c>
      <c r="G26" s="32" t="str">
        <f>IFERROR(VLOOKUP(F26,'Referencia PT'!D:F,2,FALSE),"-")</f>
        <v>Serviço Mensal</v>
      </c>
      <c r="H26" s="28"/>
      <c r="I26" s="30"/>
      <c r="J26" s="33">
        <f>IFERROR(VLOOKUP(F26,'Referencia PT'!D:F,3,FALSE),"0")</f>
        <v>1800</v>
      </c>
      <c r="K26" s="28">
        <v>31</v>
      </c>
      <c r="L26" s="34">
        <f t="shared" si="0"/>
        <v>1800</v>
      </c>
      <c r="O26" s="36"/>
    </row>
    <row r="27" spans="1:15" ht="13.9" customHeight="1" x14ac:dyDescent="0.25">
      <c r="A27" s="28">
        <v>8</v>
      </c>
      <c r="B27" s="78" t="s">
        <v>179</v>
      </c>
      <c r="C27" s="28" t="s">
        <v>180</v>
      </c>
      <c r="D27" s="29" t="s">
        <v>302</v>
      </c>
      <c r="E27" s="100" t="s">
        <v>357</v>
      </c>
      <c r="F27" s="73" t="s">
        <v>133</v>
      </c>
      <c r="G27" s="32" t="str">
        <f>IFERROR(VLOOKUP(F27,'Referencia PT'!D:F,2,FALSE),"-")</f>
        <v>Serviço Mensal</v>
      </c>
      <c r="H27" s="28"/>
      <c r="I27" s="30"/>
      <c r="J27" s="33">
        <f>IFERROR(VLOOKUP(F27,'Referencia PT'!D:F,3,FALSE),"0")</f>
        <v>1800</v>
      </c>
      <c r="K27" s="28">
        <v>31</v>
      </c>
      <c r="L27" s="34">
        <f t="shared" si="0"/>
        <v>1800</v>
      </c>
      <c r="O27" s="36"/>
    </row>
    <row r="28" spans="1:15" ht="14.25" customHeight="1" x14ac:dyDescent="0.25">
      <c r="A28" s="28">
        <v>8</v>
      </c>
      <c r="B28" s="78" t="s">
        <v>181</v>
      </c>
      <c r="C28" s="28" t="s">
        <v>182</v>
      </c>
      <c r="D28" s="29" t="s">
        <v>303</v>
      </c>
      <c r="E28" s="100" t="s">
        <v>357</v>
      </c>
      <c r="F28" s="73" t="s">
        <v>150</v>
      </c>
      <c r="G28" s="32" t="str">
        <f>IFERROR(VLOOKUP(F28,'Referencia PT'!D:F,2,FALSE),"-")</f>
        <v>Serviço Mensal</v>
      </c>
      <c r="H28" s="28"/>
      <c r="I28" s="30"/>
      <c r="J28" s="33">
        <f>IFERROR(VLOOKUP(F28,'Referencia PT'!D:F,3,FALSE),"0")</f>
        <v>2400</v>
      </c>
      <c r="K28" s="28">
        <v>31</v>
      </c>
      <c r="L28" s="34">
        <f t="shared" ref="L28" si="2">IF(G28="SERVIÇO MENSAL",((J28/31)*K28),(J28*K28))</f>
        <v>2400</v>
      </c>
      <c r="O28" s="36"/>
    </row>
    <row r="29" spans="1:15" ht="14.25" customHeight="1" x14ac:dyDescent="0.25">
      <c r="A29" s="28">
        <v>8</v>
      </c>
      <c r="B29" s="78" t="s">
        <v>181</v>
      </c>
      <c r="C29" s="28" t="s">
        <v>182</v>
      </c>
      <c r="D29" s="29" t="s">
        <v>303</v>
      </c>
      <c r="E29" s="100" t="s">
        <v>357</v>
      </c>
      <c r="F29" s="73" t="s">
        <v>358</v>
      </c>
      <c r="G29" s="32" t="str">
        <f>IFERROR(VLOOKUP(F29,'Referencia PT'!D:F,2,FALSE),"-")</f>
        <v>Demanda</v>
      </c>
      <c r="H29" s="28"/>
      <c r="I29" s="30"/>
      <c r="J29" s="33">
        <f>IFERROR(VLOOKUP(F29,'Referencia PT'!D:F,3,FALSE),"0")</f>
        <v>87</v>
      </c>
      <c r="K29" s="28">
        <v>2</v>
      </c>
      <c r="L29" s="34">
        <f t="shared" si="0"/>
        <v>174</v>
      </c>
      <c r="O29" s="36"/>
    </row>
    <row r="30" spans="1:15" ht="13.9" customHeight="1" x14ac:dyDescent="0.25">
      <c r="A30" s="28"/>
      <c r="B30" s="78" t="s">
        <v>183</v>
      </c>
      <c r="C30" s="28" t="s">
        <v>184</v>
      </c>
      <c r="D30" s="29" t="s">
        <v>304</v>
      </c>
      <c r="E30" s="100" t="s">
        <v>357</v>
      </c>
      <c r="F30" s="31" t="s">
        <v>135</v>
      </c>
      <c r="G30" s="32" t="str">
        <f>IFERROR(VLOOKUP(F30,'Referencia PT'!D:F,2,FALSE),"-")</f>
        <v>Serviço Mensal</v>
      </c>
      <c r="H30" s="28"/>
      <c r="I30" s="30"/>
      <c r="J30" s="33">
        <f>IFERROR(VLOOKUP(F30,'Referencia PT'!D:F,3,FALSE),"0")</f>
        <v>2400</v>
      </c>
      <c r="K30" s="28">
        <v>31</v>
      </c>
      <c r="L30" s="34">
        <f t="shared" si="0"/>
        <v>2400</v>
      </c>
    </row>
    <row r="31" spans="1:15" ht="13.9" customHeight="1" x14ac:dyDescent="0.25">
      <c r="A31" s="28"/>
      <c r="B31" s="78" t="s">
        <v>185</v>
      </c>
      <c r="C31" s="28" t="s">
        <v>186</v>
      </c>
      <c r="D31" s="29" t="s">
        <v>305</v>
      </c>
      <c r="E31" s="100" t="s">
        <v>357</v>
      </c>
      <c r="F31" s="31" t="s">
        <v>133</v>
      </c>
      <c r="G31" s="32" t="str">
        <f>IFERROR(VLOOKUP(F31,'Referencia PT'!D:F,2,FALSE),"-")</f>
        <v>Serviço Mensal</v>
      </c>
      <c r="H31" s="28"/>
      <c r="I31" s="30"/>
      <c r="J31" s="33">
        <f>IFERROR(VLOOKUP(F31,'Referencia PT'!D:F,3,FALSE),"0")</f>
        <v>1800</v>
      </c>
      <c r="K31" s="28">
        <f>(31-12)+1</f>
        <v>20</v>
      </c>
      <c r="L31" s="34">
        <f t="shared" si="0"/>
        <v>1161.2903225806451</v>
      </c>
    </row>
    <row r="32" spans="1:15" ht="14.25" customHeight="1" x14ac:dyDescent="0.25">
      <c r="A32" s="28">
        <v>8</v>
      </c>
      <c r="B32" s="78" t="s">
        <v>187</v>
      </c>
      <c r="C32" s="28" t="s">
        <v>188</v>
      </c>
      <c r="D32" s="29" t="s">
        <v>306</v>
      </c>
      <c r="E32" s="100" t="s">
        <v>357</v>
      </c>
      <c r="F32" s="73" t="s">
        <v>158</v>
      </c>
      <c r="G32" s="32" t="str">
        <f>IFERROR(VLOOKUP(F32,'Referencia PT'!D:F,2,FALSE),"-")</f>
        <v>Serviço Mensal</v>
      </c>
      <c r="H32" s="28"/>
      <c r="I32" s="30"/>
      <c r="J32" s="33">
        <f>IFERROR(VLOOKUP(F32,'Referencia PT'!D:F,3,FALSE),"0")</f>
        <v>2534.8200000000002</v>
      </c>
      <c r="K32" s="28">
        <v>31</v>
      </c>
      <c r="L32" s="34">
        <f t="shared" si="0"/>
        <v>2534.8200000000002</v>
      </c>
      <c r="O32" s="36"/>
    </row>
    <row r="33" spans="1:16383" ht="14.25" customHeight="1" x14ac:dyDescent="0.25">
      <c r="A33" s="28"/>
      <c r="B33" s="78" t="s">
        <v>187</v>
      </c>
      <c r="C33" s="28" t="s">
        <v>188</v>
      </c>
      <c r="D33" s="29" t="s">
        <v>306</v>
      </c>
      <c r="E33" s="100" t="s">
        <v>357</v>
      </c>
      <c r="F33" s="73" t="s">
        <v>360</v>
      </c>
      <c r="G33" s="32" t="str">
        <f>IFERROR(VLOOKUP(F33,'Referencia PT'!D:F,2,FALSE),"-")</f>
        <v>Demanda</v>
      </c>
      <c r="H33" s="28"/>
      <c r="I33" s="30"/>
      <c r="J33" s="33">
        <f>IFERROR(VLOOKUP(F33,'Referencia PT'!D:F,3,FALSE),"0")</f>
        <v>87</v>
      </c>
      <c r="K33" s="102">
        <v>6.2528735632183912</v>
      </c>
      <c r="L33" s="34">
        <f t="shared" si="0"/>
        <v>544</v>
      </c>
    </row>
    <row r="34" spans="1:16383" ht="14.25" customHeight="1" x14ac:dyDescent="0.25">
      <c r="A34" s="28">
        <v>9</v>
      </c>
      <c r="B34" s="78" t="s">
        <v>189</v>
      </c>
      <c r="C34" s="28" t="s">
        <v>190</v>
      </c>
      <c r="D34" s="29" t="s">
        <v>307</v>
      </c>
      <c r="E34" s="100" t="s">
        <v>357</v>
      </c>
      <c r="F34" s="31" t="s">
        <v>150</v>
      </c>
      <c r="G34" s="32" t="str">
        <f>IFERROR(VLOOKUP(F34,'Referencia PT'!D:F,2,FALSE),"-")</f>
        <v>Serviço Mensal</v>
      </c>
      <c r="H34" s="28"/>
      <c r="I34" s="30"/>
      <c r="J34" s="33">
        <f>IFERROR(VLOOKUP(F34,'Referencia PT'!D:F,3,FALSE),"0")</f>
        <v>2400</v>
      </c>
      <c r="K34" s="28">
        <v>31</v>
      </c>
      <c r="L34" s="34">
        <f t="shared" si="0"/>
        <v>2400</v>
      </c>
    </row>
    <row r="35" spans="1:16383" ht="14.25" customHeight="1" x14ac:dyDescent="0.25">
      <c r="A35" s="28"/>
      <c r="B35" s="78" t="s">
        <v>191</v>
      </c>
      <c r="C35" s="28" t="s">
        <v>192</v>
      </c>
      <c r="D35" s="29" t="s">
        <v>308</v>
      </c>
      <c r="E35" s="100" t="s">
        <v>356</v>
      </c>
      <c r="F35" s="31" t="s">
        <v>151</v>
      </c>
      <c r="G35" s="32" t="str">
        <f>IFERROR(VLOOKUP(F35,'Referencia PT'!D:F,2,FALSE),"-")</f>
        <v>Serviço Mensal</v>
      </c>
      <c r="H35" s="28"/>
      <c r="I35" s="30"/>
      <c r="J35" s="33">
        <f>IFERROR(VLOOKUP(F35,'Referencia PT'!D:F,3,FALSE),"0")</f>
        <v>2600</v>
      </c>
      <c r="K35" s="28">
        <v>31</v>
      </c>
      <c r="L35" s="34">
        <f t="shared" si="0"/>
        <v>2600</v>
      </c>
    </row>
    <row r="36" spans="1:16383" ht="13.9" customHeight="1" x14ac:dyDescent="0.25">
      <c r="A36" s="28"/>
      <c r="B36" s="78" t="s">
        <v>193</v>
      </c>
      <c r="C36" s="28" t="s">
        <v>194</v>
      </c>
      <c r="D36" s="29" t="s">
        <v>309</v>
      </c>
      <c r="E36" s="100" t="s">
        <v>357</v>
      </c>
      <c r="F36" s="31" t="s">
        <v>151</v>
      </c>
      <c r="G36" s="32" t="str">
        <f>IFERROR(VLOOKUP(F36,'Referencia PT'!D:F,2,FALSE),"-")</f>
        <v>Serviço Mensal</v>
      </c>
      <c r="H36" s="28"/>
      <c r="I36" s="30"/>
      <c r="J36" s="33">
        <f>IFERROR(VLOOKUP(F36,'Referencia PT'!D:F,3,FALSE),"0")</f>
        <v>2600</v>
      </c>
      <c r="K36" s="28">
        <v>31</v>
      </c>
      <c r="L36" s="34">
        <f t="shared" si="0"/>
        <v>2600</v>
      </c>
    </row>
    <row r="37" spans="1:16383" ht="14.25" customHeight="1" x14ac:dyDescent="0.25">
      <c r="A37" s="28"/>
      <c r="B37" s="78" t="s">
        <v>193</v>
      </c>
      <c r="C37" s="28" t="s">
        <v>194</v>
      </c>
      <c r="D37" s="29" t="s">
        <v>309</v>
      </c>
      <c r="E37" s="100" t="s">
        <v>357</v>
      </c>
      <c r="F37" s="31" t="s">
        <v>358</v>
      </c>
      <c r="G37" s="32" t="str">
        <f>IFERROR(VLOOKUP(F37,'Referencia PT'!D:F,2,FALSE),"-")</f>
        <v>Demanda</v>
      </c>
      <c r="H37" s="28"/>
      <c r="I37" s="30"/>
      <c r="J37" s="33">
        <f>IFERROR(VLOOKUP(F37,'Referencia PT'!D:F,3,FALSE),"0")</f>
        <v>87</v>
      </c>
      <c r="K37" s="28">
        <v>2</v>
      </c>
      <c r="L37" s="34">
        <f t="shared" si="0"/>
        <v>174</v>
      </c>
    </row>
    <row r="38" spans="1:16383" ht="14.25" customHeight="1" x14ac:dyDescent="0.25">
      <c r="A38" s="28">
        <v>23</v>
      </c>
      <c r="B38" s="78" t="s">
        <v>195</v>
      </c>
      <c r="C38" s="28" t="s">
        <v>196</v>
      </c>
      <c r="D38" s="29" t="s">
        <v>310</v>
      </c>
      <c r="E38" s="100" t="s">
        <v>356</v>
      </c>
      <c r="F38" s="31" t="s">
        <v>151</v>
      </c>
      <c r="G38" s="32" t="str">
        <f>IFERROR(VLOOKUP(F38,'Referencia PT'!D:F,2,FALSE),"-")</f>
        <v>Serviço Mensal</v>
      </c>
      <c r="H38" s="28"/>
      <c r="I38" s="30"/>
      <c r="J38" s="33">
        <f>IFERROR(VLOOKUP(F38,'Referencia PT'!D:F,3,FALSE),"0")</f>
        <v>2600</v>
      </c>
      <c r="K38" s="28">
        <v>31</v>
      </c>
      <c r="L38" s="34">
        <f t="shared" si="0"/>
        <v>2600</v>
      </c>
    </row>
    <row r="39" spans="1:16383" ht="13.9" customHeight="1" x14ac:dyDescent="0.25">
      <c r="A39" s="28"/>
      <c r="B39" s="77" t="s">
        <v>197</v>
      </c>
      <c r="C39" s="28" t="s">
        <v>198</v>
      </c>
      <c r="D39" s="29" t="s">
        <v>311</v>
      </c>
      <c r="E39" s="100" t="s">
        <v>356</v>
      </c>
      <c r="F39" s="73" t="s">
        <v>156</v>
      </c>
      <c r="G39" s="32" t="str">
        <f>IFERROR(VLOOKUP(F39,'Referencia PT'!D:F,2,FALSE),"-")</f>
        <v>Serviço Mensal</v>
      </c>
      <c r="H39" s="28"/>
      <c r="I39" s="30"/>
      <c r="J39" s="33">
        <f>IFERROR(VLOOKUP(F39,'Referencia PT'!D:F,3,FALSE),"0")</f>
        <v>2200</v>
      </c>
      <c r="K39" s="28">
        <v>31</v>
      </c>
      <c r="L39" s="34">
        <f t="shared" si="0"/>
        <v>2200</v>
      </c>
      <c r="M39" s="38"/>
      <c r="N39" s="38"/>
      <c r="O39" s="38"/>
      <c r="P39" s="38"/>
      <c r="Q39" s="38"/>
    </row>
    <row r="40" spans="1:16383" ht="14.25" customHeight="1" x14ac:dyDescent="0.25">
      <c r="A40" s="28"/>
      <c r="B40" s="77" t="s">
        <v>197</v>
      </c>
      <c r="C40" s="28" t="s">
        <v>198</v>
      </c>
      <c r="D40" s="29" t="s">
        <v>311</v>
      </c>
      <c r="E40" s="100" t="s">
        <v>356</v>
      </c>
      <c r="F40" s="73" t="s">
        <v>362</v>
      </c>
      <c r="G40" s="32" t="str">
        <f>IFERROR(VLOOKUP(F40,'Referencia PT'!D:F,2,FALSE),"-")</f>
        <v>Demanda</v>
      </c>
      <c r="H40" s="28"/>
      <c r="I40" s="30"/>
      <c r="J40" s="33">
        <f>IFERROR(VLOOKUP(F40,'Referencia PT'!D:F,3,FALSE),"0")</f>
        <v>67</v>
      </c>
      <c r="K40" s="28">
        <v>2</v>
      </c>
      <c r="L40" s="34">
        <f t="shared" si="0"/>
        <v>134</v>
      </c>
    </row>
    <row r="41" spans="1:16383" ht="13.9" customHeight="1" x14ac:dyDescent="0.25">
      <c r="A41" s="28"/>
      <c r="B41" s="78" t="s">
        <v>199</v>
      </c>
      <c r="C41" s="28" t="s">
        <v>200</v>
      </c>
      <c r="D41" s="29" t="s">
        <v>312</v>
      </c>
      <c r="E41" s="100" t="s">
        <v>356</v>
      </c>
      <c r="F41" s="73" t="s">
        <v>158</v>
      </c>
      <c r="G41" s="32" t="str">
        <f>IFERROR(VLOOKUP(F41,'Referencia PT'!D:F,2,FALSE),"-")</f>
        <v>Serviço Mensal</v>
      </c>
      <c r="H41" s="28" t="s">
        <v>11</v>
      </c>
      <c r="I41" s="30">
        <v>45293</v>
      </c>
      <c r="J41" s="33">
        <f>IFERROR(VLOOKUP(F41,'Referencia PT'!D:F,3,FALSE),"0")</f>
        <v>2534.8200000000002</v>
      </c>
      <c r="K41" s="28">
        <v>31</v>
      </c>
      <c r="L41" s="34">
        <f t="shared" si="0"/>
        <v>2534.8200000000002</v>
      </c>
    </row>
    <row r="42" spans="1:16383" s="22" customFormat="1" ht="14.25" customHeight="1" x14ac:dyDescent="0.25">
      <c r="A42" s="28">
        <v>15</v>
      </c>
      <c r="B42" s="78" t="s">
        <v>199</v>
      </c>
      <c r="C42" s="28" t="s">
        <v>200</v>
      </c>
      <c r="D42" s="29" t="s">
        <v>312</v>
      </c>
      <c r="E42" s="100" t="s">
        <v>356</v>
      </c>
      <c r="F42" s="73" t="s">
        <v>360</v>
      </c>
      <c r="G42" s="32" t="str">
        <f>IFERROR(VLOOKUP(F42,'Referencia PT'!D:F,2,FALSE),"-")</f>
        <v>Demanda</v>
      </c>
      <c r="H42" s="28" t="s">
        <v>11</v>
      </c>
      <c r="I42" s="30">
        <v>45293</v>
      </c>
      <c r="J42" s="33">
        <f>IFERROR(VLOOKUP(F42,'Referencia PT'!D:F,3,FALSE),"0")</f>
        <v>87</v>
      </c>
      <c r="K42" s="102">
        <v>5.7471264367816088</v>
      </c>
      <c r="L42" s="34">
        <f t="shared" si="0"/>
        <v>499.99999999999994</v>
      </c>
    </row>
    <row r="43" spans="1:16383" s="22" customFormat="1" ht="14.25" customHeight="1" x14ac:dyDescent="0.25">
      <c r="A43" s="28">
        <v>15</v>
      </c>
      <c r="B43" s="78" t="s">
        <v>201</v>
      </c>
      <c r="C43" s="28" t="s">
        <v>202</v>
      </c>
      <c r="D43" s="29" t="s">
        <v>313</v>
      </c>
      <c r="E43" s="100" t="s">
        <v>356</v>
      </c>
      <c r="F43" s="31" t="s">
        <v>155</v>
      </c>
      <c r="G43" s="32" t="str">
        <f>IFERROR(VLOOKUP(F43,'Referencia PT'!D:F,2,FALSE),"-")</f>
        <v>Serviço Mensal</v>
      </c>
      <c r="H43" s="28" t="s">
        <v>11</v>
      </c>
      <c r="I43" s="30">
        <v>45293</v>
      </c>
      <c r="J43" s="33">
        <f>IFERROR(VLOOKUP(F43,'Referencia PT'!D:F,3,FALSE),"0")</f>
        <v>2000</v>
      </c>
      <c r="K43" s="28">
        <v>31</v>
      </c>
      <c r="L43" s="34">
        <f t="shared" si="0"/>
        <v>2000</v>
      </c>
    </row>
    <row r="44" spans="1:16383" ht="14.25" customHeight="1" x14ac:dyDescent="0.25">
      <c r="A44" s="28">
        <v>15</v>
      </c>
      <c r="B44" s="78" t="s">
        <v>203</v>
      </c>
      <c r="C44" s="28" t="s">
        <v>204</v>
      </c>
      <c r="D44" s="29" t="s">
        <v>314</v>
      </c>
      <c r="E44" s="100" t="s">
        <v>356</v>
      </c>
      <c r="F44" s="73" t="s">
        <v>157</v>
      </c>
      <c r="G44" s="32" t="str">
        <f>IFERROR(VLOOKUP(F44,'Referencia PT'!D:F,2,FALSE),"-")</f>
        <v>Serviço Mensal</v>
      </c>
      <c r="H44" s="28"/>
      <c r="I44" s="30"/>
      <c r="J44" s="33">
        <f>IFERROR(VLOOKUP(F44,'Referencia PT'!D:F,3,FALSE),"0")</f>
        <v>1800</v>
      </c>
      <c r="K44" s="28">
        <f>(31-12)+1</f>
        <v>20</v>
      </c>
      <c r="L44" s="34">
        <f t="shared" si="0"/>
        <v>1161.2903225806451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  <c r="OH44" s="22"/>
      <c r="OI44" s="22"/>
      <c r="OJ44" s="22"/>
      <c r="OK44" s="22"/>
      <c r="OL44" s="22"/>
      <c r="OM44" s="22"/>
      <c r="ON44" s="22"/>
      <c r="OO44" s="22"/>
      <c r="OP44" s="22"/>
      <c r="OQ44" s="22"/>
      <c r="OR44" s="22"/>
      <c r="OS44" s="22"/>
      <c r="OT44" s="22"/>
      <c r="OU44" s="22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22"/>
      <c r="PV44" s="22"/>
      <c r="PW44" s="22"/>
      <c r="PX44" s="22"/>
      <c r="PY44" s="22"/>
      <c r="PZ44" s="22"/>
      <c r="QA44" s="22"/>
      <c r="QB44" s="22"/>
      <c r="QC44" s="22"/>
      <c r="QD44" s="22"/>
      <c r="QE44" s="22"/>
      <c r="QF44" s="22"/>
      <c r="QG44" s="22"/>
      <c r="QH44" s="22"/>
      <c r="QI44" s="22"/>
      <c r="QJ44" s="22"/>
      <c r="QK44" s="22"/>
      <c r="QL44" s="22"/>
      <c r="QM44" s="22"/>
      <c r="QN44" s="22"/>
      <c r="QO44" s="22"/>
      <c r="QP44" s="22"/>
      <c r="QQ44" s="22"/>
      <c r="QR44" s="22"/>
      <c r="QS44" s="22"/>
      <c r="QT44" s="22"/>
      <c r="QU44" s="22"/>
      <c r="QV44" s="22"/>
      <c r="QW44" s="22"/>
      <c r="QX44" s="22"/>
      <c r="QY44" s="22"/>
      <c r="QZ44" s="22"/>
      <c r="RA44" s="22"/>
      <c r="RB44" s="22"/>
      <c r="RC44" s="22"/>
      <c r="RD44" s="22"/>
      <c r="RE44" s="22"/>
      <c r="RF44" s="22"/>
      <c r="RG44" s="22"/>
      <c r="RH44" s="22"/>
      <c r="RI44" s="22"/>
      <c r="RJ44" s="22"/>
      <c r="RK44" s="22"/>
      <c r="RL44" s="22"/>
      <c r="RM44" s="22"/>
      <c r="RN44" s="22"/>
      <c r="RO44" s="22"/>
      <c r="RP44" s="22"/>
      <c r="RQ44" s="22"/>
      <c r="RR44" s="22"/>
      <c r="RS44" s="22"/>
      <c r="RT44" s="22"/>
      <c r="RU44" s="22"/>
      <c r="RV44" s="22"/>
      <c r="RW44" s="22"/>
      <c r="RX44" s="22"/>
      <c r="RY44" s="22"/>
      <c r="RZ44" s="22"/>
      <c r="SA44" s="22"/>
      <c r="SB44" s="22"/>
      <c r="SC44" s="22"/>
      <c r="SD44" s="22"/>
      <c r="SE44" s="22"/>
      <c r="SF44" s="22"/>
      <c r="SG44" s="22"/>
      <c r="SH44" s="22"/>
      <c r="SI44" s="22"/>
      <c r="SJ44" s="22"/>
      <c r="SK44" s="22"/>
      <c r="SL44" s="22"/>
      <c r="SM44" s="22"/>
      <c r="SN44" s="22"/>
      <c r="SO44" s="22"/>
      <c r="SP44" s="22"/>
      <c r="SQ44" s="22"/>
      <c r="SR44" s="22"/>
      <c r="SS44" s="22"/>
      <c r="ST44" s="22"/>
      <c r="SU44" s="22"/>
      <c r="SV44" s="22"/>
      <c r="SW44" s="22"/>
      <c r="SX44" s="22"/>
      <c r="SY44" s="22"/>
      <c r="SZ44" s="22"/>
      <c r="TA44" s="22"/>
      <c r="TB44" s="22"/>
      <c r="TC44" s="22"/>
      <c r="TD44" s="22"/>
      <c r="TE44" s="22"/>
      <c r="TF44" s="22"/>
      <c r="TG44" s="22"/>
      <c r="TH44" s="22"/>
      <c r="TI44" s="22"/>
      <c r="TJ44" s="22"/>
      <c r="TK44" s="22"/>
      <c r="TL44" s="22"/>
      <c r="TM44" s="22"/>
      <c r="TN44" s="22"/>
      <c r="TO44" s="22"/>
      <c r="TP44" s="22"/>
      <c r="TQ44" s="22"/>
      <c r="TR44" s="22"/>
      <c r="TS44" s="22"/>
      <c r="TT44" s="22"/>
      <c r="TU44" s="22"/>
      <c r="TV44" s="22"/>
      <c r="TW44" s="22"/>
      <c r="TX44" s="22"/>
      <c r="TY44" s="22"/>
      <c r="TZ44" s="22"/>
      <c r="UA44" s="22"/>
      <c r="UB44" s="22"/>
      <c r="UC44" s="22"/>
      <c r="UD44" s="22"/>
      <c r="UE44" s="22"/>
      <c r="UF44" s="22"/>
      <c r="UG44" s="22"/>
      <c r="UH44" s="22"/>
      <c r="UI44" s="22"/>
      <c r="UJ44" s="22"/>
      <c r="UK44" s="22"/>
      <c r="UL44" s="22"/>
      <c r="UM44" s="22"/>
      <c r="UN44" s="22"/>
      <c r="UO44" s="22"/>
      <c r="UP44" s="22"/>
      <c r="UQ44" s="22"/>
      <c r="UR44" s="22"/>
      <c r="US44" s="22"/>
      <c r="UT44" s="22"/>
      <c r="UU44" s="22"/>
      <c r="UV44" s="22"/>
      <c r="UW44" s="22"/>
      <c r="UX44" s="22"/>
      <c r="UY44" s="22"/>
      <c r="UZ44" s="22"/>
      <c r="VA44" s="22"/>
      <c r="VB44" s="22"/>
      <c r="VC44" s="22"/>
      <c r="VD44" s="22"/>
      <c r="VE44" s="22"/>
      <c r="VF44" s="22"/>
      <c r="VG44" s="22"/>
      <c r="VH44" s="22"/>
      <c r="VI44" s="22"/>
      <c r="VJ44" s="22"/>
      <c r="VK44" s="22"/>
      <c r="VL44" s="22"/>
      <c r="VM44" s="22"/>
      <c r="VN44" s="22"/>
      <c r="VO44" s="22"/>
      <c r="VP44" s="22"/>
      <c r="VQ44" s="22"/>
      <c r="VR44" s="22"/>
      <c r="VS44" s="22"/>
      <c r="VT44" s="22"/>
      <c r="VU44" s="22"/>
      <c r="VV44" s="22"/>
      <c r="VW44" s="22"/>
      <c r="VX44" s="22"/>
      <c r="VY44" s="22"/>
      <c r="VZ44" s="22"/>
      <c r="WA44" s="22"/>
      <c r="WB44" s="22"/>
      <c r="WC44" s="22"/>
      <c r="WD44" s="22"/>
      <c r="WE44" s="22"/>
      <c r="WF44" s="22"/>
      <c r="WG44" s="22"/>
      <c r="WH44" s="22"/>
      <c r="WI44" s="22"/>
      <c r="WJ44" s="22"/>
      <c r="WK44" s="22"/>
      <c r="WL44" s="22"/>
      <c r="WM44" s="22"/>
      <c r="WN44" s="22"/>
      <c r="WO44" s="22"/>
      <c r="WP44" s="22"/>
      <c r="WQ44" s="22"/>
      <c r="WR44" s="22"/>
      <c r="WS44" s="22"/>
      <c r="WT44" s="22"/>
      <c r="WU44" s="22"/>
      <c r="WV44" s="22"/>
      <c r="WW44" s="22"/>
      <c r="WX44" s="22"/>
      <c r="WY44" s="22"/>
      <c r="WZ44" s="22"/>
      <c r="XA44" s="22"/>
      <c r="XB44" s="22"/>
      <c r="XC44" s="22"/>
      <c r="XD44" s="22"/>
      <c r="XE44" s="22"/>
      <c r="XF44" s="22"/>
      <c r="XG44" s="22"/>
      <c r="XH44" s="22"/>
      <c r="XI44" s="22"/>
      <c r="XJ44" s="22"/>
      <c r="XK44" s="22"/>
      <c r="XL44" s="22"/>
      <c r="XM44" s="22"/>
      <c r="XN44" s="22"/>
      <c r="XO44" s="22"/>
      <c r="XP44" s="22"/>
      <c r="XQ44" s="22"/>
      <c r="XR44" s="22"/>
      <c r="XS44" s="22"/>
      <c r="XT44" s="22"/>
      <c r="XU44" s="22"/>
      <c r="XV44" s="22"/>
      <c r="XW44" s="22"/>
      <c r="XX44" s="22"/>
      <c r="XY44" s="22"/>
      <c r="XZ44" s="22"/>
      <c r="YA44" s="22"/>
      <c r="YB44" s="22"/>
      <c r="YC44" s="22"/>
      <c r="YD44" s="22"/>
      <c r="YE44" s="22"/>
      <c r="YF44" s="22"/>
      <c r="YG44" s="22"/>
      <c r="YH44" s="22"/>
      <c r="YI44" s="22"/>
      <c r="YJ44" s="22"/>
      <c r="YK44" s="22"/>
      <c r="YL44" s="22"/>
      <c r="YM44" s="22"/>
      <c r="YN44" s="22"/>
      <c r="YO44" s="22"/>
      <c r="YP44" s="22"/>
      <c r="YQ44" s="22"/>
      <c r="YR44" s="22"/>
      <c r="YS44" s="22"/>
      <c r="YT44" s="22"/>
      <c r="YU44" s="22"/>
      <c r="YV44" s="22"/>
      <c r="YW44" s="22"/>
      <c r="YX44" s="22"/>
      <c r="YY44" s="22"/>
      <c r="YZ44" s="22"/>
      <c r="ZA44" s="22"/>
      <c r="ZB44" s="22"/>
      <c r="ZC44" s="22"/>
      <c r="ZD44" s="22"/>
      <c r="ZE44" s="22"/>
      <c r="ZF44" s="22"/>
      <c r="ZG44" s="22"/>
      <c r="ZH44" s="22"/>
      <c r="ZI44" s="22"/>
      <c r="ZJ44" s="22"/>
      <c r="ZK44" s="22"/>
      <c r="ZL44" s="22"/>
      <c r="ZM44" s="22"/>
      <c r="ZN44" s="22"/>
      <c r="ZO44" s="22"/>
      <c r="ZP44" s="22"/>
      <c r="ZQ44" s="22"/>
      <c r="ZR44" s="22"/>
      <c r="ZS44" s="22"/>
      <c r="ZT44" s="22"/>
      <c r="ZU44" s="22"/>
      <c r="ZV44" s="22"/>
      <c r="ZW44" s="22"/>
      <c r="ZX44" s="22"/>
      <c r="ZY44" s="22"/>
      <c r="ZZ44" s="22"/>
      <c r="AAA44" s="22"/>
      <c r="AAB44" s="22"/>
      <c r="AAC44" s="22"/>
      <c r="AAD44" s="22"/>
      <c r="AAE44" s="22"/>
      <c r="AAF44" s="22"/>
      <c r="AAG44" s="22"/>
      <c r="AAH44" s="22"/>
      <c r="AAI44" s="22"/>
      <c r="AAJ44" s="22"/>
      <c r="AAK44" s="22"/>
      <c r="AAL44" s="22"/>
      <c r="AAM44" s="22"/>
      <c r="AAN44" s="22"/>
      <c r="AAO44" s="22"/>
      <c r="AAP44" s="22"/>
      <c r="AAQ44" s="22"/>
      <c r="AAR44" s="22"/>
      <c r="AAS44" s="22"/>
      <c r="AAT44" s="22"/>
      <c r="AAU44" s="22"/>
      <c r="AAV44" s="22"/>
      <c r="AAW44" s="22"/>
      <c r="AAX44" s="22"/>
      <c r="AAY44" s="22"/>
      <c r="AAZ44" s="22"/>
      <c r="ABA44" s="22"/>
      <c r="ABB44" s="22"/>
      <c r="ABC44" s="22"/>
      <c r="ABD44" s="22"/>
      <c r="ABE44" s="22"/>
      <c r="ABF44" s="22"/>
      <c r="ABG44" s="22"/>
      <c r="ABH44" s="22"/>
      <c r="ABI44" s="22"/>
      <c r="ABJ44" s="22"/>
      <c r="ABK44" s="22"/>
      <c r="ABL44" s="22"/>
      <c r="ABM44" s="22"/>
      <c r="ABN44" s="22"/>
      <c r="ABO44" s="22"/>
      <c r="ABP44" s="22"/>
      <c r="ABQ44" s="22"/>
      <c r="ABR44" s="22"/>
      <c r="ABS44" s="22"/>
      <c r="ABT44" s="22"/>
      <c r="ABU44" s="22"/>
      <c r="ABV44" s="22"/>
      <c r="ABW44" s="22"/>
      <c r="ABX44" s="22"/>
      <c r="ABY44" s="22"/>
      <c r="ABZ44" s="22"/>
      <c r="ACA44" s="22"/>
      <c r="ACB44" s="22"/>
      <c r="ACC44" s="22"/>
      <c r="ACD44" s="22"/>
      <c r="ACE44" s="22"/>
      <c r="ACF44" s="22"/>
      <c r="ACG44" s="22"/>
      <c r="ACH44" s="22"/>
      <c r="ACI44" s="22"/>
      <c r="ACJ44" s="22"/>
      <c r="ACK44" s="22"/>
      <c r="ACL44" s="22"/>
      <c r="ACM44" s="22"/>
      <c r="ACN44" s="22"/>
      <c r="ACO44" s="22"/>
      <c r="ACP44" s="22"/>
      <c r="ACQ44" s="22"/>
      <c r="ACR44" s="22"/>
      <c r="ACS44" s="22"/>
      <c r="ACT44" s="22"/>
      <c r="ACU44" s="22"/>
      <c r="ACV44" s="22"/>
      <c r="ACW44" s="22"/>
      <c r="ACX44" s="22"/>
      <c r="ACY44" s="22"/>
      <c r="ACZ44" s="22"/>
      <c r="ADA44" s="22"/>
      <c r="ADB44" s="22"/>
      <c r="ADC44" s="22"/>
      <c r="ADD44" s="22"/>
      <c r="ADE44" s="22"/>
      <c r="ADF44" s="22"/>
      <c r="ADG44" s="22"/>
      <c r="ADH44" s="22"/>
      <c r="ADI44" s="22"/>
      <c r="ADJ44" s="22"/>
      <c r="ADK44" s="22"/>
      <c r="ADL44" s="22"/>
      <c r="ADM44" s="22"/>
      <c r="ADN44" s="22"/>
      <c r="ADO44" s="22"/>
      <c r="ADP44" s="22"/>
      <c r="ADQ44" s="22"/>
      <c r="ADR44" s="22"/>
      <c r="ADS44" s="22"/>
      <c r="ADT44" s="22"/>
      <c r="ADU44" s="22"/>
      <c r="ADV44" s="22"/>
      <c r="ADW44" s="22"/>
      <c r="ADX44" s="22"/>
      <c r="ADY44" s="22"/>
      <c r="ADZ44" s="22"/>
      <c r="AEA44" s="22"/>
      <c r="AEB44" s="22"/>
      <c r="AEC44" s="22"/>
      <c r="AED44" s="22"/>
      <c r="AEE44" s="22"/>
      <c r="AEF44" s="22"/>
      <c r="AEG44" s="22"/>
      <c r="AEH44" s="22"/>
      <c r="AEI44" s="22"/>
      <c r="AEJ44" s="22"/>
      <c r="AEK44" s="22"/>
      <c r="AEL44" s="22"/>
      <c r="AEM44" s="22"/>
      <c r="AEN44" s="22"/>
      <c r="AEO44" s="22"/>
      <c r="AEP44" s="22"/>
      <c r="AEQ44" s="22"/>
      <c r="AER44" s="22"/>
      <c r="AES44" s="22"/>
      <c r="AET44" s="22"/>
      <c r="AEU44" s="22"/>
      <c r="AEV44" s="22"/>
      <c r="AEW44" s="22"/>
      <c r="AEX44" s="22"/>
      <c r="AEY44" s="22"/>
      <c r="AEZ44" s="22"/>
      <c r="AFA44" s="22"/>
      <c r="AFB44" s="22"/>
      <c r="AFC44" s="22"/>
      <c r="AFD44" s="22"/>
      <c r="AFE44" s="22"/>
      <c r="AFF44" s="22"/>
      <c r="AFG44" s="22"/>
      <c r="AFH44" s="22"/>
      <c r="AFI44" s="22"/>
      <c r="AFJ44" s="22"/>
      <c r="AFK44" s="22"/>
      <c r="AFL44" s="22"/>
      <c r="AFM44" s="22"/>
      <c r="AFN44" s="22"/>
      <c r="AFO44" s="22"/>
      <c r="AFP44" s="22"/>
      <c r="AFQ44" s="22"/>
      <c r="AFR44" s="22"/>
      <c r="AFS44" s="22"/>
      <c r="AFT44" s="22"/>
      <c r="AFU44" s="22"/>
      <c r="AFV44" s="22"/>
      <c r="AFW44" s="22"/>
      <c r="AFX44" s="22"/>
      <c r="AFY44" s="22"/>
      <c r="AFZ44" s="22"/>
      <c r="AGA44" s="22"/>
      <c r="AGB44" s="22"/>
      <c r="AGC44" s="22"/>
      <c r="AGD44" s="22"/>
      <c r="AGE44" s="22"/>
      <c r="AGF44" s="22"/>
      <c r="AGG44" s="22"/>
      <c r="AGH44" s="22"/>
      <c r="AGI44" s="22"/>
      <c r="AGJ44" s="22"/>
      <c r="AGK44" s="22"/>
      <c r="AGL44" s="22"/>
      <c r="AGM44" s="22"/>
      <c r="AGN44" s="22"/>
      <c r="AGO44" s="22"/>
      <c r="AGP44" s="22"/>
      <c r="AGQ44" s="22"/>
      <c r="AGR44" s="22"/>
      <c r="AGS44" s="22"/>
      <c r="AGT44" s="22"/>
      <c r="AGU44" s="22"/>
      <c r="AGV44" s="22"/>
      <c r="AGW44" s="22"/>
      <c r="AGX44" s="22"/>
      <c r="AGY44" s="22"/>
      <c r="AGZ44" s="22"/>
      <c r="AHA44" s="22"/>
      <c r="AHB44" s="22"/>
      <c r="AHC44" s="22"/>
      <c r="AHD44" s="22"/>
      <c r="AHE44" s="22"/>
      <c r="AHF44" s="22"/>
      <c r="AHG44" s="22"/>
      <c r="AHH44" s="22"/>
      <c r="AHI44" s="22"/>
      <c r="AHJ44" s="22"/>
      <c r="AHK44" s="22"/>
      <c r="AHL44" s="22"/>
      <c r="AHM44" s="22"/>
      <c r="AHN44" s="22"/>
      <c r="AHO44" s="22"/>
      <c r="AHP44" s="22"/>
      <c r="AHQ44" s="22"/>
      <c r="AHR44" s="22"/>
      <c r="AHS44" s="22"/>
      <c r="AHT44" s="22"/>
      <c r="AHU44" s="22"/>
      <c r="AHV44" s="22"/>
      <c r="AHW44" s="22"/>
      <c r="AHX44" s="22"/>
      <c r="AHY44" s="22"/>
      <c r="AHZ44" s="22"/>
      <c r="AIA44" s="22"/>
      <c r="AIB44" s="22"/>
      <c r="AIC44" s="22"/>
      <c r="AID44" s="22"/>
      <c r="AIE44" s="22"/>
      <c r="AIF44" s="22"/>
      <c r="AIG44" s="22"/>
      <c r="AIH44" s="22"/>
      <c r="AII44" s="22"/>
      <c r="AIJ44" s="22"/>
      <c r="AIK44" s="22"/>
      <c r="AIL44" s="22"/>
      <c r="AIM44" s="22"/>
      <c r="AIN44" s="22"/>
      <c r="AIO44" s="22"/>
      <c r="AIP44" s="22"/>
      <c r="AIQ44" s="22"/>
      <c r="AIR44" s="22"/>
      <c r="AIS44" s="22"/>
      <c r="AIT44" s="22"/>
      <c r="AIU44" s="22"/>
      <c r="AIV44" s="22"/>
      <c r="AIW44" s="22"/>
      <c r="AIX44" s="22"/>
      <c r="AIY44" s="22"/>
      <c r="AIZ44" s="22"/>
      <c r="AJA44" s="22"/>
      <c r="AJB44" s="22"/>
      <c r="AJC44" s="22"/>
      <c r="AJD44" s="22"/>
      <c r="AJE44" s="22"/>
      <c r="AJF44" s="22"/>
      <c r="AJG44" s="22"/>
      <c r="AJH44" s="22"/>
      <c r="AJI44" s="22"/>
      <c r="AJJ44" s="22"/>
      <c r="AJK44" s="22"/>
      <c r="AJL44" s="22"/>
      <c r="AJM44" s="22"/>
      <c r="AJN44" s="22"/>
      <c r="AJO44" s="22"/>
      <c r="AJP44" s="22"/>
      <c r="AJQ44" s="22"/>
      <c r="AJR44" s="22"/>
      <c r="AJS44" s="22"/>
      <c r="AJT44" s="22"/>
      <c r="AJU44" s="22"/>
      <c r="AJV44" s="22"/>
      <c r="AJW44" s="22"/>
      <c r="AJX44" s="22"/>
      <c r="AJY44" s="22"/>
      <c r="AJZ44" s="22"/>
      <c r="AKA44" s="22"/>
      <c r="AKB44" s="22"/>
      <c r="AKC44" s="22"/>
      <c r="AKD44" s="22"/>
      <c r="AKE44" s="22"/>
      <c r="AKF44" s="22"/>
      <c r="AKG44" s="22"/>
      <c r="AKH44" s="22"/>
      <c r="AKI44" s="22"/>
      <c r="AKJ44" s="22"/>
      <c r="AKK44" s="22"/>
      <c r="AKL44" s="22"/>
      <c r="AKM44" s="22"/>
      <c r="AKN44" s="22"/>
      <c r="AKO44" s="22"/>
      <c r="AKP44" s="22"/>
      <c r="AKQ44" s="22"/>
      <c r="AKR44" s="22"/>
      <c r="AKS44" s="22"/>
      <c r="AKT44" s="22"/>
      <c r="AKU44" s="22"/>
      <c r="AKV44" s="22"/>
      <c r="AKW44" s="22"/>
      <c r="AKX44" s="22"/>
      <c r="AKY44" s="22"/>
      <c r="AKZ44" s="22"/>
      <c r="ALA44" s="22"/>
      <c r="ALB44" s="22"/>
      <c r="ALC44" s="22"/>
      <c r="ALD44" s="22"/>
      <c r="ALE44" s="22"/>
      <c r="ALF44" s="22"/>
      <c r="ALG44" s="22"/>
      <c r="ALH44" s="22"/>
      <c r="ALI44" s="22"/>
      <c r="ALJ44" s="22"/>
      <c r="ALK44" s="22"/>
      <c r="ALL44" s="22"/>
      <c r="ALM44" s="22"/>
      <c r="ALN44" s="22"/>
      <c r="ALO44" s="22"/>
      <c r="ALP44" s="22"/>
      <c r="ALQ44" s="22"/>
      <c r="ALR44" s="22"/>
      <c r="ALS44" s="22"/>
      <c r="ALT44" s="22"/>
      <c r="ALU44" s="22"/>
      <c r="ALV44" s="22"/>
      <c r="ALW44" s="22"/>
      <c r="ALX44" s="22"/>
      <c r="ALY44" s="22"/>
      <c r="ALZ44" s="22"/>
      <c r="AMA44" s="22"/>
      <c r="AMB44" s="22"/>
      <c r="AMC44" s="22"/>
      <c r="AMD44" s="22"/>
      <c r="AME44" s="22"/>
      <c r="AMF44" s="22"/>
      <c r="AMG44" s="22"/>
      <c r="AMH44" s="22"/>
      <c r="AMI44" s="22"/>
      <c r="AMJ44" s="22"/>
      <c r="AMK44" s="22"/>
      <c r="AML44" s="22"/>
      <c r="AMM44" s="22"/>
      <c r="AMN44" s="22"/>
      <c r="AMO44" s="22"/>
      <c r="AMP44" s="22"/>
      <c r="AMQ44" s="22"/>
      <c r="AMR44" s="22"/>
      <c r="AMS44" s="22"/>
      <c r="AMT44" s="22"/>
      <c r="AMU44" s="22"/>
      <c r="AMV44" s="22"/>
      <c r="AMW44" s="22"/>
      <c r="AMX44" s="22"/>
      <c r="AMY44" s="22"/>
      <c r="AMZ44" s="22"/>
      <c r="ANA44" s="22"/>
      <c r="ANB44" s="22"/>
      <c r="ANC44" s="22"/>
      <c r="AND44" s="22"/>
      <c r="ANE44" s="22"/>
      <c r="ANF44" s="22"/>
      <c r="ANG44" s="22"/>
      <c r="ANH44" s="22"/>
      <c r="ANI44" s="22"/>
      <c r="ANJ44" s="22"/>
      <c r="ANK44" s="22"/>
      <c r="ANL44" s="22"/>
      <c r="ANM44" s="22"/>
      <c r="ANN44" s="22"/>
      <c r="ANO44" s="22"/>
      <c r="ANP44" s="22"/>
      <c r="ANQ44" s="22"/>
      <c r="ANR44" s="22"/>
      <c r="ANS44" s="22"/>
      <c r="ANT44" s="22"/>
      <c r="ANU44" s="22"/>
      <c r="ANV44" s="22"/>
      <c r="ANW44" s="22"/>
      <c r="ANX44" s="22"/>
      <c r="ANY44" s="22"/>
      <c r="ANZ44" s="22"/>
      <c r="AOA44" s="22"/>
      <c r="AOB44" s="22"/>
      <c r="AOC44" s="22"/>
      <c r="AOD44" s="22"/>
      <c r="AOE44" s="22"/>
      <c r="AOF44" s="22"/>
      <c r="AOG44" s="22"/>
      <c r="AOH44" s="22"/>
      <c r="AOI44" s="22"/>
      <c r="AOJ44" s="22"/>
      <c r="AOK44" s="22"/>
      <c r="AOL44" s="22"/>
      <c r="AOM44" s="22"/>
      <c r="AON44" s="22"/>
      <c r="AOO44" s="22"/>
      <c r="AOP44" s="22"/>
      <c r="AOQ44" s="22"/>
      <c r="AOR44" s="22"/>
      <c r="AOS44" s="22"/>
      <c r="AOT44" s="22"/>
      <c r="AOU44" s="22"/>
      <c r="AOV44" s="22"/>
      <c r="AOW44" s="22"/>
      <c r="AOX44" s="22"/>
      <c r="AOY44" s="22"/>
      <c r="AOZ44" s="22"/>
      <c r="APA44" s="22"/>
      <c r="APB44" s="22"/>
      <c r="APC44" s="22"/>
      <c r="APD44" s="22"/>
      <c r="APE44" s="22"/>
      <c r="APF44" s="22"/>
      <c r="APG44" s="22"/>
      <c r="APH44" s="22"/>
      <c r="API44" s="22"/>
      <c r="APJ44" s="22"/>
      <c r="APK44" s="22"/>
      <c r="APL44" s="22"/>
      <c r="APM44" s="22"/>
      <c r="APN44" s="22"/>
      <c r="APO44" s="22"/>
      <c r="APP44" s="22"/>
      <c r="APQ44" s="22"/>
      <c r="APR44" s="22"/>
      <c r="APS44" s="22"/>
      <c r="APT44" s="22"/>
      <c r="APU44" s="22"/>
      <c r="APV44" s="22"/>
      <c r="APW44" s="22"/>
      <c r="APX44" s="22"/>
      <c r="APY44" s="22"/>
      <c r="APZ44" s="22"/>
      <c r="AQA44" s="22"/>
      <c r="AQB44" s="22"/>
      <c r="AQC44" s="22"/>
      <c r="AQD44" s="22"/>
      <c r="AQE44" s="22"/>
      <c r="AQF44" s="22"/>
      <c r="AQG44" s="22"/>
      <c r="AQH44" s="22"/>
      <c r="AQI44" s="22"/>
      <c r="AQJ44" s="22"/>
      <c r="AQK44" s="22"/>
      <c r="AQL44" s="22"/>
      <c r="AQM44" s="22"/>
      <c r="AQN44" s="22"/>
      <c r="AQO44" s="22"/>
      <c r="AQP44" s="22"/>
      <c r="AQQ44" s="22"/>
      <c r="AQR44" s="22"/>
      <c r="AQS44" s="22"/>
      <c r="AQT44" s="22"/>
      <c r="AQU44" s="22"/>
      <c r="AQV44" s="22"/>
      <c r="AQW44" s="22"/>
      <c r="AQX44" s="22"/>
      <c r="AQY44" s="22"/>
      <c r="AQZ44" s="22"/>
      <c r="ARA44" s="22"/>
      <c r="ARB44" s="22"/>
      <c r="ARC44" s="22"/>
      <c r="ARD44" s="22"/>
      <c r="ARE44" s="22"/>
      <c r="ARF44" s="22"/>
      <c r="ARG44" s="22"/>
      <c r="ARH44" s="22"/>
      <c r="ARI44" s="22"/>
      <c r="ARJ44" s="22"/>
      <c r="ARK44" s="22"/>
      <c r="ARL44" s="22"/>
      <c r="ARM44" s="22"/>
      <c r="ARN44" s="22"/>
      <c r="ARO44" s="22"/>
      <c r="ARP44" s="22"/>
      <c r="ARQ44" s="22"/>
      <c r="ARR44" s="22"/>
      <c r="ARS44" s="22"/>
      <c r="ART44" s="22"/>
      <c r="ARU44" s="22"/>
      <c r="ARV44" s="22"/>
      <c r="ARW44" s="22"/>
      <c r="ARX44" s="22"/>
      <c r="ARY44" s="22"/>
      <c r="ARZ44" s="22"/>
      <c r="ASA44" s="22"/>
      <c r="ASB44" s="22"/>
      <c r="ASC44" s="22"/>
      <c r="ASD44" s="22"/>
      <c r="ASE44" s="22"/>
      <c r="ASF44" s="22"/>
      <c r="ASG44" s="22"/>
      <c r="ASH44" s="22"/>
      <c r="ASI44" s="22"/>
      <c r="ASJ44" s="22"/>
      <c r="ASK44" s="22"/>
      <c r="ASL44" s="22"/>
      <c r="ASM44" s="22"/>
      <c r="ASN44" s="22"/>
      <c r="ASO44" s="22"/>
      <c r="ASP44" s="22"/>
      <c r="ASQ44" s="22"/>
      <c r="ASR44" s="22"/>
      <c r="ASS44" s="22"/>
      <c r="AST44" s="22"/>
      <c r="ASU44" s="22"/>
      <c r="ASV44" s="22"/>
      <c r="ASW44" s="22"/>
      <c r="ASX44" s="22"/>
      <c r="ASY44" s="22"/>
      <c r="ASZ44" s="22"/>
      <c r="ATA44" s="22"/>
      <c r="ATB44" s="22"/>
      <c r="ATC44" s="22"/>
      <c r="ATD44" s="22"/>
      <c r="ATE44" s="22"/>
      <c r="ATF44" s="22"/>
      <c r="ATG44" s="22"/>
      <c r="ATH44" s="22"/>
      <c r="ATI44" s="22"/>
      <c r="ATJ44" s="22"/>
      <c r="ATK44" s="22"/>
      <c r="ATL44" s="22"/>
      <c r="ATM44" s="22"/>
      <c r="ATN44" s="22"/>
      <c r="ATO44" s="22"/>
      <c r="ATP44" s="22"/>
      <c r="ATQ44" s="22"/>
      <c r="ATR44" s="22"/>
      <c r="ATS44" s="22"/>
      <c r="ATT44" s="22"/>
      <c r="ATU44" s="22"/>
      <c r="ATV44" s="22"/>
      <c r="ATW44" s="22"/>
      <c r="ATX44" s="22"/>
      <c r="ATY44" s="22"/>
      <c r="ATZ44" s="22"/>
      <c r="AUA44" s="22"/>
      <c r="AUB44" s="22"/>
      <c r="AUC44" s="22"/>
      <c r="AUD44" s="22"/>
      <c r="AUE44" s="22"/>
      <c r="AUF44" s="22"/>
      <c r="AUG44" s="22"/>
      <c r="AUH44" s="22"/>
      <c r="AUI44" s="22"/>
      <c r="AUJ44" s="22"/>
      <c r="AUK44" s="22"/>
      <c r="AUL44" s="22"/>
      <c r="AUM44" s="22"/>
      <c r="AUN44" s="22"/>
      <c r="AUO44" s="22"/>
      <c r="AUP44" s="22"/>
      <c r="AUQ44" s="22"/>
      <c r="AUR44" s="22"/>
      <c r="AUS44" s="22"/>
      <c r="AUT44" s="22"/>
      <c r="AUU44" s="22"/>
      <c r="AUV44" s="22"/>
      <c r="AUW44" s="22"/>
      <c r="AUX44" s="22"/>
      <c r="AUY44" s="22"/>
      <c r="AUZ44" s="22"/>
      <c r="AVA44" s="22"/>
      <c r="AVB44" s="22"/>
      <c r="AVC44" s="22"/>
      <c r="AVD44" s="22"/>
      <c r="AVE44" s="22"/>
      <c r="AVF44" s="22"/>
      <c r="AVG44" s="22"/>
      <c r="AVH44" s="22"/>
      <c r="AVI44" s="22"/>
      <c r="AVJ44" s="22"/>
      <c r="AVK44" s="22"/>
      <c r="AVL44" s="22"/>
      <c r="AVM44" s="22"/>
      <c r="AVN44" s="22"/>
      <c r="AVO44" s="22"/>
      <c r="AVP44" s="22"/>
      <c r="AVQ44" s="22"/>
      <c r="AVR44" s="22"/>
      <c r="AVS44" s="22"/>
      <c r="AVT44" s="22"/>
      <c r="AVU44" s="22"/>
      <c r="AVV44" s="22"/>
      <c r="AVW44" s="22"/>
      <c r="AVX44" s="22"/>
      <c r="AVY44" s="22"/>
      <c r="AVZ44" s="22"/>
      <c r="AWA44" s="22"/>
      <c r="AWB44" s="22"/>
      <c r="AWC44" s="22"/>
      <c r="AWD44" s="22"/>
      <c r="AWE44" s="22"/>
      <c r="AWF44" s="22"/>
      <c r="AWG44" s="22"/>
      <c r="AWH44" s="22"/>
      <c r="AWI44" s="22"/>
      <c r="AWJ44" s="22"/>
      <c r="AWK44" s="22"/>
      <c r="AWL44" s="22"/>
      <c r="AWM44" s="22"/>
      <c r="AWN44" s="22"/>
      <c r="AWO44" s="22"/>
      <c r="AWP44" s="22"/>
      <c r="AWQ44" s="22"/>
      <c r="AWR44" s="22"/>
      <c r="AWS44" s="22"/>
      <c r="AWT44" s="22"/>
      <c r="AWU44" s="22"/>
      <c r="AWV44" s="22"/>
      <c r="AWW44" s="22"/>
      <c r="AWX44" s="22"/>
      <c r="AWY44" s="22"/>
      <c r="AWZ44" s="22"/>
      <c r="AXA44" s="22"/>
      <c r="AXB44" s="22"/>
      <c r="AXC44" s="22"/>
      <c r="AXD44" s="22"/>
      <c r="AXE44" s="22"/>
      <c r="AXF44" s="22"/>
      <c r="AXG44" s="22"/>
      <c r="AXH44" s="22"/>
      <c r="AXI44" s="22"/>
      <c r="AXJ44" s="22"/>
      <c r="AXK44" s="22"/>
      <c r="AXL44" s="22"/>
      <c r="AXM44" s="22"/>
      <c r="AXN44" s="22"/>
      <c r="AXO44" s="22"/>
      <c r="AXP44" s="22"/>
      <c r="AXQ44" s="22"/>
      <c r="AXR44" s="22"/>
      <c r="AXS44" s="22"/>
      <c r="AXT44" s="22"/>
      <c r="AXU44" s="22"/>
      <c r="AXV44" s="22"/>
      <c r="AXW44" s="22"/>
      <c r="AXX44" s="22"/>
      <c r="AXY44" s="22"/>
      <c r="AXZ44" s="22"/>
      <c r="AYA44" s="22"/>
      <c r="AYB44" s="22"/>
      <c r="AYC44" s="22"/>
      <c r="AYD44" s="22"/>
      <c r="AYE44" s="22"/>
      <c r="AYF44" s="22"/>
      <c r="AYG44" s="22"/>
      <c r="AYH44" s="22"/>
      <c r="AYI44" s="22"/>
      <c r="AYJ44" s="22"/>
      <c r="AYK44" s="22"/>
      <c r="AYL44" s="22"/>
      <c r="AYM44" s="22"/>
      <c r="AYN44" s="22"/>
      <c r="AYO44" s="22"/>
      <c r="AYP44" s="22"/>
      <c r="AYQ44" s="22"/>
      <c r="AYR44" s="22"/>
      <c r="AYS44" s="22"/>
      <c r="AYT44" s="22"/>
      <c r="AYU44" s="22"/>
      <c r="AYV44" s="22"/>
      <c r="AYW44" s="22"/>
      <c r="AYX44" s="22"/>
      <c r="AYY44" s="22"/>
      <c r="AYZ44" s="22"/>
      <c r="AZA44" s="22"/>
      <c r="AZB44" s="22"/>
      <c r="AZC44" s="22"/>
      <c r="AZD44" s="22"/>
      <c r="AZE44" s="22"/>
      <c r="AZF44" s="22"/>
      <c r="AZG44" s="22"/>
      <c r="AZH44" s="22"/>
      <c r="AZI44" s="22"/>
      <c r="AZJ44" s="22"/>
      <c r="AZK44" s="22"/>
      <c r="AZL44" s="22"/>
      <c r="AZM44" s="22"/>
      <c r="AZN44" s="22"/>
      <c r="AZO44" s="22"/>
      <c r="AZP44" s="22"/>
      <c r="AZQ44" s="22"/>
      <c r="AZR44" s="22"/>
      <c r="AZS44" s="22"/>
      <c r="AZT44" s="22"/>
      <c r="AZU44" s="22"/>
      <c r="AZV44" s="22"/>
      <c r="AZW44" s="22"/>
      <c r="AZX44" s="22"/>
      <c r="AZY44" s="22"/>
      <c r="AZZ44" s="22"/>
      <c r="BAA44" s="22"/>
      <c r="BAB44" s="22"/>
      <c r="BAC44" s="22"/>
      <c r="BAD44" s="22"/>
      <c r="BAE44" s="22"/>
      <c r="BAF44" s="22"/>
      <c r="BAG44" s="22"/>
      <c r="BAH44" s="22"/>
      <c r="BAI44" s="22"/>
      <c r="BAJ44" s="22"/>
      <c r="BAK44" s="22"/>
      <c r="BAL44" s="22"/>
      <c r="BAM44" s="22"/>
      <c r="BAN44" s="22"/>
      <c r="BAO44" s="22"/>
      <c r="BAP44" s="22"/>
      <c r="BAQ44" s="22"/>
      <c r="BAR44" s="22"/>
      <c r="BAS44" s="22"/>
      <c r="BAT44" s="22"/>
      <c r="BAU44" s="22"/>
      <c r="BAV44" s="22"/>
      <c r="BAW44" s="22"/>
      <c r="BAX44" s="22"/>
      <c r="BAY44" s="22"/>
      <c r="BAZ44" s="22"/>
      <c r="BBA44" s="22"/>
      <c r="BBB44" s="22"/>
      <c r="BBC44" s="22"/>
      <c r="BBD44" s="22"/>
      <c r="BBE44" s="22"/>
      <c r="BBF44" s="22"/>
      <c r="BBG44" s="22"/>
      <c r="BBH44" s="22"/>
      <c r="BBI44" s="22"/>
      <c r="BBJ44" s="22"/>
      <c r="BBK44" s="22"/>
      <c r="BBL44" s="22"/>
      <c r="BBM44" s="22"/>
      <c r="BBN44" s="22"/>
      <c r="BBO44" s="22"/>
      <c r="BBP44" s="22"/>
      <c r="BBQ44" s="22"/>
      <c r="BBR44" s="22"/>
      <c r="BBS44" s="22"/>
      <c r="BBT44" s="22"/>
      <c r="BBU44" s="22"/>
      <c r="BBV44" s="22"/>
      <c r="BBW44" s="22"/>
      <c r="BBX44" s="22"/>
      <c r="BBY44" s="22"/>
      <c r="BBZ44" s="22"/>
      <c r="BCA44" s="22"/>
      <c r="BCB44" s="22"/>
      <c r="BCC44" s="22"/>
      <c r="BCD44" s="22"/>
      <c r="BCE44" s="22"/>
      <c r="BCF44" s="22"/>
      <c r="BCG44" s="22"/>
      <c r="BCH44" s="22"/>
      <c r="BCI44" s="22"/>
      <c r="BCJ44" s="22"/>
      <c r="BCK44" s="22"/>
      <c r="BCL44" s="22"/>
      <c r="BCM44" s="22"/>
      <c r="BCN44" s="22"/>
      <c r="BCO44" s="22"/>
      <c r="BCP44" s="22"/>
      <c r="BCQ44" s="22"/>
      <c r="BCR44" s="22"/>
      <c r="BCS44" s="22"/>
      <c r="BCT44" s="22"/>
      <c r="BCU44" s="22"/>
      <c r="BCV44" s="22"/>
      <c r="BCW44" s="22"/>
      <c r="BCX44" s="22"/>
      <c r="BCY44" s="22"/>
      <c r="BCZ44" s="22"/>
      <c r="BDA44" s="22"/>
      <c r="BDB44" s="22"/>
      <c r="BDC44" s="22"/>
      <c r="BDD44" s="22"/>
      <c r="BDE44" s="22"/>
      <c r="BDF44" s="22"/>
      <c r="BDG44" s="22"/>
      <c r="BDH44" s="22"/>
      <c r="BDI44" s="22"/>
      <c r="BDJ44" s="22"/>
      <c r="BDK44" s="22"/>
      <c r="BDL44" s="22"/>
      <c r="BDM44" s="22"/>
      <c r="BDN44" s="22"/>
      <c r="BDO44" s="22"/>
      <c r="BDP44" s="22"/>
      <c r="BDQ44" s="22"/>
      <c r="BDR44" s="22"/>
      <c r="BDS44" s="22"/>
      <c r="BDT44" s="22"/>
      <c r="BDU44" s="22"/>
      <c r="BDV44" s="22"/>
      <c r="BDW44" s="22"/>
      <c r="BDX44" s="22"/>
      <c r="BDY44" s="22"/>
      <c r="BDZ44" s="22"/>
      <c r="BEA44" s="22"/>
      <c r="BEB44" s="22"/>
      <c r="BEC44" s="22"/>
      <c r="BED44" s="22"/>
      <c r="BEE44" s="22"/>
      <c r="BEF44" s="22"/>
      <c r="BEG44" s="22"/>
      <c r="BEH44" s="22"/>
      <c r="BEI44" s="22"/>
      <c r="BEJ44" s="22"/>
      <c r="BEK44" s="22"/>
      <c r="BEL44" s="22"/>
      <c r="BEM44" s="22"/>
      <c r="BEN44" s="22"/>
      <c r="BEO44" s="22"/>
      <c r="BEP44" s="22"/>
      <c r="BEQ44" s="22"/>
      <c r="BER44" s="22"/>
      <c r="BES44" s="22"/>
      <c r="BET44" s="22"/>
      <c r="BEU44" s="22"/>
      <c r="BEV44" s="22"/>
      <c r="BEW44" s="22"/>
      <c r="BEX44" s="22"/>
      <c r="BEY44" s="22"/>
      <c r="BEZ44" s="22"/>
      <c r="BFA44" s="22"/>
      <c r="BFB44" s="22"/>
      <c r="BFC44" s="22"/>
      <c r="BFD44" s="22"/>
      <c r="BFE44" s="22"/>
      <c r="BFF44" s="22"/>
      <c r="BFG44" s="22"/>
      <c r="BFH44" s="22"/>
      <c r="BFI44" s="22"/>
      <c r="BFJ44" s="22"/>
      <c r="BFK44" s="22"/>
      <c r="BFL44" s="22"/>
      <c r="BFM44" s="22"/>
      <c r="BFN44" s="22"/>
      <c r="BFO44" s="22"/>
      <c r="BFP44" s="22"/>
      <c r="BFQ44" s="22"/>
      <c r="BFR44" s="22"/>
      <c r="BFS44" s="22"/>
      <c r="BFT44" s="22"/>
      <c r="BFU44" s="22"/>
      <c r="BFV44" s="22"/>
      <c r="BFW44" s="22"/>
      <c r="BFX44" s="22"/>
      <c r="BFY44" s="22"/>
      <c r="BFZ44" s="22"/>
      <c r="BGA44" s="22"/>
      <c r="BGB44" s="22"/>
      <c r="BGC44" s="22"/>
      <c r="BGD44" s="22"/>
      <c r="BGE44" s="22"/>
      <c r="BGF44" s="22"/>
      <c r="BGG44" s="22"/>
      <c r="BGH44" s="22"/>
      <c r="BGI44" s="22"/>
      <c r="BGJ44" s="22"/>
      <c r="BGK44" s="22"/>
      <c r="BGL44" s="22"/>
      <c r="BGM44" s="22"/>
      <c r="BGN44" s="22"/>
      <c r="BGO44" s="22"/>
      <c r="BGP44" s="22"/>
      <c r="BGQ44" s="22"/>
      <c r="BGR44" s="22"/>
      <c r="BGS44" s="22"/>
      <c r="BGT44" s="22"/>
      <c r="BGU44" s="22"/>
      <c r="BGV44" s="22"/>
      <c r="BGW44" s="22"/>
      <c r="BGX44" s="22"/>
      <c r="BGY44" s="22"/>
      <c r="BGZ44" s="22"/>
      <c r="BHA44" s="22"/>
      <c r="BHB44" s="22"/>
      <c r="BHC44" s="22"/>
      <c r="BHD44" s="22"/>
      <c r="BHE44" s="22"/>
      <c r="BHF44" s="22"/>
      <c r="BHG44" s="22"/>
      <c r="BHH44" s="22"/>
      <c r="BHI44" s="22"/>
      <c r="BHJ44" s="22"/>
      <c r="BHK44" s="22"/>
      <c r="BHL44" s="22"/>
      <c r="BHM44" s="22"/>
      <c r="BHN44" s="22"/>
      <c r="BHO44" s="22"/>
      <c r="BHP44" s="22"/>
      <c r="BHQ44" s="22"/>
      <c r="BHR44" s="22"/>
      <c r="BHS44" s="22"/>
      <c r="BHT44" s="22"/>
      <c r="BHU44" s="22"/>
      <c r="BHV44" s="22"/>
      <c r="BHW44" s="22"/>
      <c r="BHX44" s="22"/>
      <c r="BHY44" s="22"/>
      <c r="BHZ44" s="22"/>
      <c r="BIA44" s="22"/>
      <c r="BIB44" s="22"/>
      <c r="BIC44" s="22"/>
      <c r="BID44" s="22"/>
      <c r="BIE44" s="22"/>
      <c r="BIF44" s="22"/>
      <c r="BIG44" s="22"/>
      <c r="BIH44" s="22"/>
      <c r="BII44" s="22"/>
      <c r="BIJ44" s="22"/>
      <c r="BIK44" s="22"/>
      <c r="BIL44" s="22"/>
      <c r="BIM44" s="22"/>
      <c r="BIN44" s="22"/>
      <c r="BIO44" s="22"/>
      <c r="BIP44" s="22"/>
      <c r="BIQ44" s="22"/>
      <c r="BIR44" s="22"/>
      <c r="BIS44" s="22"/>
      <c r="BIT44" s="22"/>
      <c r="BIU44" s="22"/>
      <c r="BIV44" s="22"/>
      <c r="BIW44" s="22"/>
      <c r="BIX44" s="22"/>
      <c r="BIY44" s="22"/>
      <c r="BIZ44" s="22"/>
      <c r="BJA44" s="22"/>
      <c r="BJB44" s="22"/>
      <c r="BJC44" s="22"/>
      <c r="BJD44" s="22"/>
      <c r="BJE44" s="22"/>
      <c r="BJF44" s="22"/>
      <c r="BJG44" s="22"/>
      <c r="BJH44" s="22"/>
      <c r="BJI44" s="22"/>
      <c r="BJJ44" s="22"/>
      <c r="BJK44" s="22"/>
      <c r="BJL44" s="22"/>
      <c r="BJM44" s="22"/>
      <c r="BJN44" s="22"/>
      <c r="BJO44" s="22"/>
      <c r="BJP44" s="22"/>
      <c r="BJQ44" s="22"/>
      <c r="BJR44" s="22"/>
      <c r="BJS44" s="22"/>
      <c r="BJT44" s="22"/>
      <c r="BJU44" s="22"/>
      <c r="BJV44" s="22"/>
      <c r="BJW44" s="22"/>
      <c r="BJX44" s="22"/>
      <c r="BJY44" s="22"/>
      <c r="BJZ44" s="22"/>
      <c r="BKA44" s="22"/>
      <c r="BKB44" s="22"/>
      <c r="BKC44" s="22"/>
      <c r="BKD44" s="22"/>
      <c r="BKE44" s="22"/>
      <c r="BKF44" s="22"/>
      <c r="BKG44" s="22"/>
      <c r="BKH44" s="22"/>
      <c r="BKI44" s="22"/>
      <c r="BKJ44" s="22"/>
      <c r="BKK44" s="22"/>
      <c r="BKL44" s="22"/>
      <c r="BKM44" s="22"/>
      <c r="BKN44" s="22"/>
      <c r="BKO44" s="22"/>
      <c r="BKP44" s="22"/>
      <c r="BKQ44" s="22"/>
      <c r="BKR44" s="22"/>
      <c r="BKS44" s="22"/>
      <c r="BKT44" s="22"/>
      <c r="BKU44" s="22"/>
      <c r="BKV44" s="22"/>
      <c r="BKW44" s="22"/>
      <c r="BKX44" s="22"/>
      <c r="BKY44" s="22"/>
      <c r="BKZ44" s="22"/>
      <c r="BLA44" s="22"/>
      <c r="BLB44" s="22"/>
      <c r="BLC44" s="22"/>
      <c r="BLD44" s="22"/>
      <c r="BLE44" s="22"/>
      <c r="BLF44" s="22"/>
      <c r="BLG44" s="22"/>
      <c r="BLH44" s="22"/>
      <c r="BLI44" s="22"/>
      <c r="BLJ44" s="22"/>
      <c r="BLK44" s="22"/>
      <c r="BLL44" s="22"/>
      <c r="BLM44" s="22"/>
      <c r="BLN44" s="22"/>
      <c r="BLO44" s="22"/>
      <c r="BLP44" s="22"/>
      <c r="BLQ44" s="22"/>
      <c r="BLR44" s="22"/>
      <c r="BLS44" s="22"/>
      <c r="BLT44" s="22"/>
      <c r="BLU44" s="22"/>
      <c r="BLV44" s="22"/>
      <c r="BLW44" s="22"/>
      <c r="BLX44" s="22"/>
      <c r="BLY44" s="22"/>
      <c r="BLZ44" s="22"/>
      <c r="BMA44" s="22"/>
      <c r="BMB44" s="22"/>
      <c r="BMC44" s="22"/>
      <c r="BMD44" s="22"/>
      <c r="BME44" s="22"/>
      <c r="BMF44" s="22"/>
      <c r="BMG44" s="22"/>
      <c r="BMH44" s="22"/>
      <c r="BMI44" s="22"/>
      <c r="BMJ44" s="22"/>
      <c r="BMK44" s="22"/>
      <c r="BML44" s="22"/>
      <c r="BMM44" s="22"/>
      <c r="BMN44" s="22"/>
      <c r="BMO44" s="22"/>
      <c r="BMP44" s="22"/>
      <c r="BMQ44" s="22"/>
      <c r="BMR44" s="22"/>
      <c r="BMS44" s="22"/>
      <c r="BMT44" s="22"/>
      <c r="BMU44" s="22"/>
      <c r="BMV44" s="22"/>
      <c r="BMW44" s="22"/>
      <c r="BMX44" s="22"/>
      <c r="BMY44" s="22"/>
      <c r="BMZ44" s="22"/>
      <c r="BNA44" s="22"/>
      <c r="BNB44" s="22"/>
      <c r="BNC44" s="22"/>
      <c r="BND44" s="22"/>
      <c r="BNE44" s="22"/>
      <c r="BNF44" s="22"/>
      <c r="BNG44" s="22"/>
      <c r="BNH44" s="22"/>
      <c r="BNI44" s="22"/>
      <c r="BNJ44" s="22"/>
      <c r="BNK44" s="22"/>
      <c r="BNL44" s="22"/>
      <c r="BNM44" s="22"/>
      <c r="BNN44" s="22"/>
      <c r="BNO44" s="22"/>
      <c r="BNP44" s="22"/>
      <c r="BNQ44" s="22"/>
      <c r="BNR44" s="22"/>
      <c r="BNS44" s="22"/>
      <c r="BNT44" s="22"/>
      <c r="BNU44" s="22"/>
      <c r="BNV44" s="22"/>
      <c r="BNW44" s="22"/>
      <c r="BNX44" s="22"/>
      <c r="BNY44" s="22"/>
      <c r="BNZ44" s="22"/>
      <c r="BOA44" s="22"/>
      <c r="BOB44" s="22"/>
      <c r="BOC44" s="22"/>
      <c r="BOD44" s="22"/>
      <c r="BOE44" s="22"/>
      <c r="BOF44" s="22"/>
      <c r="BOG44" s="22"/>
      <c r="BOH44" s="22"/>
      <c r="BOI44" s="22"/>
      <c r="BOJ44" s="22"/>
      <c r="BOK44" s="22"/>
      <c r="BOL44" s="22"/>
      <c r="BOM44" s="22"/>
      <c r="BON44" s="22"/>
      <c r="BOO44" s="22"/>
      <c r="BOP44" s="22"/>
      <c r="BOQ44" s="22"/>
      <c r="BOR44" s="22"/>
      <c r="BOS44" s="22"/>
      <c r="BOT44" s="22"/>
      <c r="BOU44" s="22"/>
      <c r="BOV44" s="22"/>
      <c r="BOW44" s="22"/>
      <c r="BOX44" s="22"/>
      <c r="BOY44" s="22"/>
      <c r="BOZ44" s="22"/>
      <c r="BPA44" s="22"/>
      <c r="BPB44" s="22"/>
      <c r="BPC44" s="22"/>
      <c r="BPD44" s="22"/>
      <c r="BPE44" s="22"/>
      <c r="BPF44" s="22"/>
      <c r="BPG44" s="22"/>
      <c r="BPH44" s="22"/>
      <c r="BPI44" s="22"/>
      <c r="BPJ44" s="22"/>
      <c r="BPK44" s="22"/>
      <c r="BPL44" s="22"/>
      <c r="BPM44" s="22"/>
      <c r="BPN44" s="22"/>
      <c r="BPO44" s="22"/>
      <c r="BPP44" s="22"/>
      <c r="BPQ44" s="22"/>
      <c r="BPR44" s="22"/>
      <c r="BPS44" s="22"/>
      <c r="BPT44" s="22"/>
      <c r="BPU44" s="22"/>
      <c r="BPV44" s="22"/>
      <c r="BPW44" s="22"/>
      <c r="BPX44" s="22"/>
      <c r="BPY44" s="22"/>
      <c r="BPZ44" s="22"/>
      <c r="BQA44" s="22"/>
      <c r="BQB44" s="22"/>
      <c r="BQC44" s="22"/>
      <c r="BQD44" s="22"/>
      <c r="BQE44" s="22"/>
      <c r="BQF44" s="22"/>
      <c r="BQG44" s="22"/>
      <c r="BQH44" s="22"/>
      <c r="BQI44" s="22"/>
      <c r="BQJ44" s="22"/>
      <c r="BQK44" s="22"/>
      <c r="BQL44" s="22"/>
      <c r="BQM44" s="22"/>
      <c r="BQN44" s="22"/>
      <c r="BQO44" s="22"/>
      <c r="BQP44" s="22"/>
      <c r="BQQ44" s="22"/>
      <c r="BQR44" s="22"/>
      <c r="BQS44" s="22"/>
      <c r="BQT44" s="22"/>
      <c r="BQU44" s="22"/>
      <c r="BQV44" s="22"/>
      <c r="BQW44" s="22"/>
      <c r="BQX44" s="22"/>
      <c r="BQY44" s="22"/>
      <c r="BQZ44" s="22"/>
      <c r="BRA44" s="22"/>
      <c r="BRB44" s="22"/>
      <c r="BRC44" s="22"/>
      <c r="BRD44" s="22"/>
      <c r="BRE44" s="22"/>
      <c r="BRF44" s="22"/>
      <c r="BRG44" s="22"/>
      <c r="BRH44" s="22"/>
      <c r="BRI44" s="22"/>
      <c r="BRJ44" s="22"/>
      <c r="BRK44" s="22"/>
      <c r="BRL44" s="22"/>
      <c r="BRM44" s="22"/>
      <c r="BRN44" s="22"/>
      <c r="BRO44" s="22"/>
      <c r="BRP44" s="22"/>
      <c r="BRQ44" s="22"/>
      <c r="BRR44" s="22"/>
      <c r="BRS44" s="22"/>
      <c r="BRT44" s="22"/>
      <c r="BRU44" s="22"/>
      <c r="BRV44" s="22"/>
      <c r="BRW44" s="22"/>
      <c r="BRX44" s="22"/>
      <c r="BRY44" s="22"/>
      <c r="BRZ44" s="22"/>
      <c r="BSA44" s="22"/>
      <c r="BSB44" s="22"/>
      <c r="BSC44" s="22"/>
      <c r="BSD44" s="22"/>
      <c r="BSE44" s="22"/>
      <c r="BSF44" s="22"/>
      <c r="BSG44" s="22"/>
      <c r="BSH44" s="22"/>
      <c r="BSI44" s="22"/>
      <c r="BSJ44" s="22"/>
      <c r="BSK44" s="22"/>
      <c r="BSL44" s="22"/>
      <c r="BSM44" s="22"/>
      <c r="BSN44" s="22"/>
      <c r="BSO44" s="22"/>
      <c r="BSP44" s="22"/>
      <c r="BSQ44" s="22"/>
      <c r="BSR44" s="22"/>
      <c r="BSS44" s="22"/>
      <c r="BST44" s="22"/>
      <c r="BSU44" s="22"/>
      <c r="BSV44" s="22"/>
      <c r="BSW44" s="22"/>
      <c r="BSX44" s="22"/>
      <c r="BSY44" s="22"/>
      <c r="BSZ44" s="22"/>
      <c r="BTA44" s="22"/>
      <c r="BTB44" s="22"/>
      <c r="BTC44" s="22"/>
      <c r="BTD44" s="22"/>
      <c r="BTE44" s="22"/>
      <c r="BTF44" s="22"/>
      <c r="BTG44" s="22"/>
      <c r="BTH44" s="22"/>
      <c r="BTI44" s="22"/>
      <c r="BTJ44" s="22"/>
      <c r="BTK44" s="22"/>
      <c r="BTL44" s="22"/>
      <c r="BTM44" s="22"/>
      <c r="BTN44" s="22"/>
      <c r="BTO44" s="22"/>
      <c r="BTP44" s="22"/>
      <c r="BTQ44" s="22"/>
      <c r="BTR44" s="22"/>
      <c r="BTS44" s="22"/>
      <c r="BTT44" s="22"/>
      <c r="BTU44" s="22"/>
      <c r="BTV44" s="22"/>
      <c r="BTW44" s="22"/>
      <c r="BTX44" s="22"/>
      <c r="BTY44" s="22"/>
      <c r="BTZ44" s="22"/>
      <c r="BUA44" s="22"/>
      <c r="BUB44" s="22"/>
      <c r="BUC44" s="22"/>
      <c r="BUD44" s="22"/>
      <c r="BUE44" s="22"/>
      <c r="BUF44" s="22"/>
      <c r="BUG44" s="22"/>
      <c r="BUH44" s="22"/>
      <c r="BUI44" s="22"/>
      <c r="BUJ44" s="22"/>
      <c r="BUK44" s="22"/>
      <c r="BUL44" s="22"/>
      <c r="BUM44" s="22"/>
      <c r="BUN44" s="22"/>
      <c r="BUO44" s="22"/>
      <c r="BUP44" s="22"/>
      <c r="BUQ44" s="22"/>
      <c r="BUR44" s="22"/>
      <c r="BUS44" s="22"/>
      <c r="BUT44" s="22"/>
      <c r="BUU44" s="22"/>
      <c r="BUV44" s="22"/>
      <c r="BUW44" s="22"/>
      <c r="BUX44" s="22"/>
      <c r="BUY44" s="22"/>
      <c r="BUZ44" s="22"/>
      <c r="BVA44" s="22"/>
      <c r="BVB44" s="22"/>
      <c r="BVC44" s="22"/>
      <c r="BVD44" s="22"/>
      <c r="BVE44" s="22"/>
      <c r="BVF44" s="22"/>
      <c r="BVG44" s="22"/>
      <c r="BVH44" s="22"/>
      <c r="BVI44" s="22"/>
      <c r="BVJ44" s="22"/>
      <c r="BVK44" s="22"/>
      <c r="BVL44" s="22"/>
      <c r="BVM44" s="22"/>
      <c r="BVN44" s="22"/>
      <c r="BVO44" s="22"/>
      <c r="BVP44" s="22"/>
      <c r="BVQ44" s="22"/>
      <c r="BVR44" s="22"/>
      <c r="BVS44" s="22"/>
      <c r="BVT44" s="22"/>
      <c r="BVU44" s="22"/>
      <c r="BVV44" s="22"/>
      <c r="BVW44" s="22"/>
      <c r="BVX44" s="22"/>
      <c r="BVY44" s="22"/>
      <c r="BVZ44" s="22"/>
      <c r="BWA44" s="22"/>
      <c r="BWB44" s="22"/>
      <c r="BWC44" s="22"/>
      <c r="BWD44" s="22"/>
      <c r="BWE44" s="22"/>
      <c r="BWF44" s="22"/>
      <c r="BWG44" s="22"/>
      <c r="BWH44" s="22"/>
      <c r="BWI44" s="22"/>
      <c r="BWJ44" s="22"/>
      <c r="BWK44" s="22"/>
      <c r="BWL44" s="22"/>
      <c r="BWM44" s="22"/>
      <c r="BWN44" s="22"/>
      <c r="BWO44" s="22"/>
      <c r="BWP44" s="22"/>
      <c r="BWQ44" s="22"/>
      <c r="BWR44" s="22"/>
      <c r="BWS44" s="22"/>
      <c r="BWT44" s="22"/>
      <c r="BWU44" s="22"/>
      <c r="BWV44" s="22"/>
      <c r="BWW44" s="22"/>
      <c r="BWX44" s="22"/>
      <c r="BWY44" s="22"/>
      <c r="BWZ44" s="22"/>
      <c r="BXA44" s="22"/>
      <c r="BXB44" s="22"/>
      <c r="BXC44" s="22"/>
      <c r="BXD44" s="22"/>
      <c r="BXE44" s="22"/>
      <c r="BXF44" s="22"/>
      <c r="BXG44" s="22"/>
      <c r="BXH44" s="22"/>
      <c r="BXI44" s="22"/>
      <c r="BXJ44" s="22"/>
      <c r="BXK44" s="22"/>
      <c r="BXL44" s="22"/>
      <c r="BXM44" s="22"/>
      <c r="BXN44" s="22"/>
      <c r="BXO44" s="22"/>
      <c r="BXP44" s="22"/>
      <c r="BXQ44" s="22"/>
      <c r="BXR44" s="22"/>
      <c r="BXS44" s="22"/>
      <c r="BXT44" s="22"/>
      <c r="BXU44" s="22"/>
      <c r="BXV44" s="22"/>
      <c r="BXW44" s="22"/>
      <c r="BXX44" s="22"/>
      <c r="BXY44" s="22"/>
      <c r="BXZ44" s="22"/>
      <c r="BYA44" s="22"/>
      <c r="BYB44" s="22"/>
      <c r="BYC44" s="22"/>
      <c r="BYD44" s="22"/>
      <c r="BYE44" s="22"/>
      <c r="BYF44" s="22"/>
      <c r="BYG44" s="22"/>
      <c r="BYH44" s="22"/>
      <c r="BYI44" s="22"/>
      <c r="BYJ44" s="22"/>
      <c r="BYK44" s="22"/>
      <c r="BYL44" s="22"/>
      <c r="BYM44" s="22"/>
      <c r="BYN44" s="22"/>
      <c r="BYO44" s="22"/>
      <c r="BYP44" s="22"/>
      <c r="BYQ44" s="22"/>
      <c r="BYR44" s="22"/>
      <c r="BYS44" s="22"/>
      <c r="BYT44" s="22"/>
      <c r="BYU44" s="22"/>
      <c r="BYV44" s="22"/>
      <c r="BYW44" s="22"/>
      <c r="BYX44" s="22"/>
      <c r="BYY44" s="22"/>
      <c r="BYZ44" s="22"/>
      <c r="BZA44" s="22"/>
      <c r="BZB44" s="22"/>
      <c r="BZC44" s="22"/>
      <c r="BZD44" s="22"/>
      <c r="BZE44" s="22"/>
      <c r="BZF44" s="22"/>
      <c r="BZG44" s="22"/>
      <c r="BZH44" s="22"/>
      <c r="BZI44" s="22"/>
      <c r="BZJ44" s="22"/>
      <c r="BZK44" s="22"/>
      <c r="BZL44" s="22"/>
      <c r="BZM44" s="22"/>
      <c r="BZN44" s="22"/>
      <c r="BZO44" s="22"/>
      <c r="BZP44" s="22"/>
      <c r="BZQ44" s="22"/>
      <c r="BZR44" s="22"/>
      <c r="BZS44" s="22"/>
      <c r="BZT44" s="22"/>
      <c r="BZU44" s="22"/>
      <c r="BZV44" s="22"/>
      <c r="BZW44" s="22"/>
      <c r="BZX44" s="22"/>
      <c r="BZY44" s="22"/>
      <c r="BZZ44" s="22"/>
      <c r="CAA44" s="22"/>
      <c r="CAB44" s="22"/>
      <c r="CAC44" s="22"/>
      <c r="CAD44" s="22"/>
      <c r="CAE44" s="22"/>
      <c r="CAF44" s="22"/>
      <c r="CAG44" s="22"/>
      <c r="CAH44" s="22"/>
      <c r="CAI44" s="22"/>
      <c r="CAJ44" s="22"/>
      <c r="CAK44" s="22"/>
      <c r="CAL44" s="22"/>
      <c r="CAM44" s="22"/>
      <c r="CAN44" s="22"/>
      <c r="CAO44" s="22"/>
      <c r="CAP44" s="22"/>
      <c r="CAQ44" s="22"/>
      <c r="CAR44" s="22"/>
      <c r="CAS44" s="22"/>
      <c r="CAT44" s="22"/>
      <c r="CAU44" s="22"/>
      <c r="CAV44" s="22"/>
      <c r="CAW44" s="22"/>
      <c r="CAX44" s="22"/>
      <c r="CAY44" s="22"/>
      <c r="CAZ44" s="22"/>
      <c r="CBA44" s="22"/>
      <c r="CBB44" s="22"/>
      <c r="CBC44" s="22"/>
      <c r="CBD44" s="22"/>
      <c r="CBE44" s="22"/>
      <c r="CBF44" s="22"/>
      <c r="CBG44" s="22"/>
      <c r="CBH44" s="22"/>
      <c r="CBI44" s="22"/>
      <c r="CBJ44" s="22"/>
      <c r="CBK44" s="22"/>
      <c r="CBL44" s="22"/>
      <c r="CBM44" s="22"/>
      <c r="CBN44" s="22"/>
      <c r="CBO44" s="22"/>
      <c r="CBP44" s="22"/>
      <c r="CBQ44" s="22"/>
      <c r="CBR44" s="22"/>
      <c r="CBS44" s="22"/>
      <c r="CBT44" s="22"/>
      <c r="CBU44" s="22"/>
      <c r="CBV44" s="22"/>
      <c r="CBW44" s="22"/>
      <c r="CBX44" s="22"/>
      <c r="CBY44" s="22"/>
      <c r="CBZ44" s="22"/>
      <c r="CCA44" s="22"/>
      <c r="CCB44" s="22"/>
      <c r="CCC44" s="22"/>
      <c r="CCD44" s="22"/>
      <c r="CCE44" s="22"/>
      <c r="CCF44" s="22"/>
      <c r="CCG44" s="22"/>
      <c r="CCH44" s="22"/>
      <c r="CCI44" s="22"/>
      <c r="CCJ44" s="22"/>
      <c r="CCK44" s="22"/>
      <c r="CCL44" s="22"/>
      <c r="CCM44" s="22"/>
      <c r="CCN44" s="22"/>
      <c r="CCO44" s="22"/>
      <c r="CCP44" s="22"/>
      <c r="CCQ44" s="22"/>
      <c r="CCR44" s="22"/>
      <c r="CCS44" s="22"/>
      <c r="CCT44" s="22"/>
      <c r="CCU44" s="22"/>
      <c r="CCV44" s="22"/>
      <c r="CCW44" s="22"/>
      <c r="CCX44" s="22"/>
      <c r="CCY44" s="22"/>
      <c r="CCZ44" s="22"/>
      <c r="CDA44" s="22"/>
      <c r="CDB44" s="22"/>
      <c r="CDC44" s="22"/>
      <c r="CDD44" s="22"/>
      <c r="CDE44" s="22"/>
      <c r="CDF44" s="22"/>
      <c r="CDG44" s="22"/>
      <c r="CDH44" s="22"/>
      <c r="CDI44" s="22"/>
      <c r="CDJ44" s="22"/>
      <c r="CDK44" s="22"/>
      <c r="CDL44" s="22"/>
      <c r="CDM44" s="22"/>
      <c r="CDN44" s="22"/>
      <c r="CDO44" s="22"/>
      <c r="CDP44" s="22"/>
      <c r="CDQ44" s="22"/>
      <c r="CDR44" s="22"/>
      <c r="CDS44" s="22"/>
      <c r="CDT44" s="22"/>
      <c r="CDU44" s="22"/>
      <c r="CDV44" s="22"/>
      <c r="CDW44" s="22"/>
      <c r="CDX44" s="22"/>
      <c r="CDY44" s="22"/>
      <c r="CDZ44" s="22"/>
      <c r="CEA44" s="22"/>
      <c r="CEB44" s="22"/>
      <c r="CEC44" s="22"/>
      <c r="CED44" s="22"/>
      <c r="CEE44" s="22"/>
      <c r="CEF44" s="22"/>
      <c r="CEG44" s="22"/>
      <c r="CEH44" s="22"/>
      <c r="CEI44" s="22"/>
      <c r="CEJ44" s="22"/>
      <c r="CEK44" s="22"/>
      <c r="CEL44" s="22"/>
      <c r="CEM44" s="22"/>
      <c r="CEN44" s="22"/>
      <c r="CEO44" s="22"/>
      <c r="CEP44" s="22"/>
      <c r="CEQ44" s="22"/>
      <c r="CER44" s="22"/>
      <c r="CES44" s="22"/>
      <c r="CET44" s="22"/>
      <c r="CEU44" s="22"/>
      <c r="CEV44" s="22"/>
      <c r="CEW44" s="22"/>
      <c r="CEX44" s="22"/>
      <c r="CEY44" s="22"/>
      <c r="CEZ44" s="22"/>
      <c r="CFA44" s="22"/>
      <c r="CFB44" s="22"/>
      <c r="CFC44" s="22"/>
      <c r="CFD44" s="22"/>
      <c r="CFE44" s="22"/>
      <c r="CFF44" s="22"/>
      <c r="CFG44" s="22"/>
      <c r="CFH44" s="22"/>
      <c r="CFI44" s="22"/>
      <c r="CFJ44" s="22"/>
      <c r="CFK44" s="22"/>
      <c r="CFL44" s="22"/>
      <c r="CFM44" s="22"/>
      <c r="CFN44" s="22"/>
      <c r="CFO44" s="22"/>
      <c r="CFP44" s="22"/>
      <c r="CFQ44" s="22"/>
      <c r="CFR44" s="22"/>
      <c r="CFS44" s="22"/>
      <c r="CFT44" s="22"/>
      <c r="CFU44" s="22"/>
      <c r="CFV44" s="22"/>
      <c r="CFW44" s="22"/>
      <c r="CFX44" s="22"/>
      <c r="CFY44" s="22"/>
      <c r="CFZ44" s="22"/>
      <c r="CGA44" s="22"/>
      <c r="CGB44" s="22"/>
      <c r="CGC44" s="22"/>
      <c r="CGD44" s="22"/>
      <c r="CGE44" s="22"/>
      <c r="CGF44" s="22"/>
      <c r="CGG44" s="22"/>
      <c r="CGH44" s="22"/>
      <c r="CGI44" s="22"/>
      <c r="CGJ44" s="22"/>
      <c r="CGK44" s="22"/>
      <c r="CGL44" s="22"/>
      <c r="CGM44" s="22"/>
      <c r="CGN44" s="22"/>
      <c r="CGO44" s="22"/>
      <c r="CGP44" s="22"/>
      <c r="CGQ44" s="22"/>
      <c r="CGR44" s="22"/>
      <c r="CGS44" s="22"/>
      <c r="CGT44" s="22"/>
      <c r="CGU44" s="22"/>
      <c r="CGV44" s="22"/>
      <c r="CGW44" s="22"/>
      <c r="CGX44" s="22"/>
      <c r="CGY44" s="22"/>
      <c r="CGZ44" s="22"/>
      <c r="CHA44" s="22"/>
      <c r="CHB44" s="22"/>
      <c r="CHC44" s="22"/>
      <c r="CHD44" s="22"/>
      <c r="CHE44" s="22"/>
      <c r="CHF44" s="22"/>
      <c r="CHG44" s="22"/>
      <c r="CHH44" s="22"/>
      <c r="CHI44" s="22"/>
      <c r="CHJ44" s="22"/>
      <c r="CHK44" s="22"/>
      <c r="CHL44" s="22"/>
      <c r="CHM44" s="22"/>
      <c r="CHN44" s="22"/>
      <c r="CHO44" s="22"/>
      <c r="CHP44" s="22"/>
      <c r="CHQ44" s="22"/>
      <c r="CHR44" s="22"/>
      <c r="CHS44" s="22"/>
      <c r="CHT44" s="22"/>
      <c r="CHU44" s="22"/>
      <c r="CHV44" s="22"/>
      <c r="CHW44" s="22"/>
      <c r="CHX44" s="22"/>
      <c r="CHY44" s="22"/>
      <c r="CHZ44" s="22"/>
      <c r="CIA44" s="22"/>
      <c r="CIB44" s="22"/>
      <c r="CIC44" s="22"/>
      <c r="CID44" s="22"/>
      <c r="CIE44" s="22"/>
      <c r="CIF44" s="22"/>
      <c r="CIG44" s="22"/>
      <c r="CIH44" s="22"/>
      <c r="CII44" s="22"/>
      <c r="CIJ44" s="22"/>
      <c r="CIK44" s="22"/>
      <c r="CIL44" s="22"/>
      <c r="CIM44" s="22"/>
      <c r="CIN44" s="22"/>
      <c r="CIO44" s="22"/>
      <c r="CIP44" s="22"/>
      <c r="CIQ44" s="22"/>
      <c r="CIR44" s="22"/>
      <c r="CIS44" s="22"/>
      <c r="CIT44" s="22"/>
      <c r="CIU44" s="22"/>
      <c r="CIV44" s="22"/>
      <c r="CIW44" s="22"/>
      <c r="CIX44" s="22"/>
      <c r="CIY44" s="22"/>
      <c r="CIZ44" s="22"/>
      <c r="CJA44" s="22"/>
      <c r="CJB44" s="22"/>
      <c r="CJC44" s="22"/>
      <c r="CJD44" s="22"/>
      <c r="CJE44" s="22"/>
      <c r="CJF44" s="22"/>
      <c r="CJG44" s="22"/>
      <c r="CJH44" s="22"/>
      <c r="CJI44" s="22"/>
      <c r="CJJ44" s="22"/>
      <c r="CJK44" s="22"/>
      <c r="CJL44" s="22"/>
      <c r="CJM44" s="22"/>
      <c r="CJN44" s="22"/>
      <c r="CJO44" s="22"/>
      <c r="CJP44" s="22"/>
      <c r="CJQ44" s="22"/>
      <c r="CJR44" s="22"/>
      <c r="CJS44" s="22"/>
      <c r="CJT44" s="22"/>
      <c r="CJU44" s="22"/>
      <c r="CJV44" s="22"/>
      <c r="CJW44" s="22"/>
      <c r="CJX44" s="22"/>
      <c r="CJY44" s="22"/>
      <c r="CJZ44" s="22"/>
      <c r="CKA44" s="22"/>
      <c r="CKB44" s="22"/>
      <c r="CKC44" s="22"/>
      <c r="CKD44" s="22"/>
      <c r="CKE44" s="22"/>
      <c r="CKF44" s="22"/>
      <c r="CKG44" s="22"/>
      <c r="CKH44" s="22"/>
      <c r="CKI44" s="22"/>
      <c r="CKJ44" s="22"/>
      <c r="CKK44" s="22"/>
      <c r="CKL44" s="22"/>
      <c r="CKM44" s="22"/>
      <c r="CKN44" s="22"/>
      <c r="CKO44" s="22"/>
      <c r="CKP44" s="22"/>
      <c r="CKQ44" s="22"/>
      <c r="CKR44" s="22"/>
      <c r="CKS44" s="22"/>
      <c r="CKT44" s="22"/>
      <c r="CKU44" s="22"/>
      <c r="CKV44" s="22"/>
      <c r="CKW44" s="22"/>
      <c r="CKX44" s="22"/>
      <c r="CKY44" s="22"/>
      <c r="CKZ44" s="22"/>
      <c r="CLA44" s="22"/>
      <c r="CLB44" s="22"/>
      <c r="CLC44" s="22"/>
      <c r="CLD44" s="22"/>
      <c r="CLE44" s="22"/>
      <c r="CLF44" s="22"/>
      <c r="CLG44" s="22"/>
      <c r="CLH44" s="22"/>
      <c r="CLI44" s="22"/>
      <c r="CLJ44" s="22"/>
      <c r="CLK44" s="22"/>
      <c r="CLL44" s="22"/>
      <c r="CLM44" s="22"/>
      <c r="CLN44" s="22"/>
      <c r="CLO44" s="22"/>
      <c r="CLP44" s="22"/>
      <c r="CLQ44" s="22"/>
      <c r="CLR44" s="22"/>
      <c r="CLS44" s="22"/>
      <c r="CLT44" s="22"/>
      <c r="CLU44" s="22"/>
      <c r="CLV44" s="22"/>
      <c r="CLW44" s="22"/>
      <c r="CLX44" s="22"/>
      <c r="CLY44" s="22"/>
      <c r="CLZ44" s="22"/>
      <c r="CMA44" s="22"/>
      <c r="CMB44" s="22"/>
      <c r="CMC44" s="22"/>
      <c r="CMD44" s="22"/>
      <c r="CME44" s="22"/>
      <c r="CMF44" s="22"/>
      <c r="CMG44" s="22"/>
      <c r="CMH44" s="22"/>
      <c r="CMI44" s="22"/>
      <c r="CMJ44" s="22"/>
      <c r="CMK44" s="22"/>
      <c r="CML44" s="22"/>
      <c r="CMM44" s="22"/>
      <c r="CMN44" s="22"/>
      <c r="CMO44" s="22"/>
      <c r="CMP44" s="22"/>
      <c r="CMQ44" s="22"/>
      <c r="CMR44" s="22"/>
      <c r="CMS44" s="22"/>
      <c r="CMT44" s="22"/>
      <c r="CMU44" s="22"/>
      <c r="CMV44" s="22"/>
      <c r="CMW44" s="22"/>
      <c r="CMX44" s="22"/>
      <c r="CMY44" s="22"/>
      <c r="CMZ44" s="22"/>
      <c r="CNA44" s="22"/>
      <c r="CNB44" s="22"/>
      <c r="CNC44" s="22"/>
      <c r="CND44" s="22"/>
      <c r="CNE44" s="22"/>
      <c r="CNF44" s="22"/>
      <c r="CNG44" s="22"/>
      <c r="CNH44" s="22"/>
      <c r="CNI44" s="22"/>
      <c r="CNJ44" s="22"/>
      <c r="CNK44" s="22"/>
      <c r="CNL44" s="22"/>
      <c r="CNM44" s="22"/>
      <c r="CNN44" s="22"/>
      <c r="CNO44" s="22"/>
      <c r="CNP44" s="22"/>
      <c r="CNQ44" s="22"/>
      <c r="CNR44" s="22"/>
      <c r="CNS44" s="22"/>
      <c r="CNT44" s="22"/>
      <c r="CNU44" s="22"/>
      <c r="CNV44" s="22"/>
      <c r="CNW44" s="22"/>
      <c r="CNX44" s="22"/>
      <c r="CNY44" s="22"/>
      <c r="CNZ44" s="22"/>
      <c r="COA44" s="22"/>
      <c r="COB44" s="22"/>
      <c r="COC44" s="22"/>
      <c r="COD44" s="22"/>
      <c r="COE44" s="22"/>
      <c r="COF44" s="22"/>
      <c r="COG44" s="22"/>
      <c r="COH44" s="22"/>
      <c r="COI44" s="22"/>
      <c r="COJ44" s="22"/>
      <c r="COK44" s="22"/>
      <c r="COL44" s="22"/>
      <c r="COM44" s="22"/>
      <c r="CON44" s="22"/>
      <c r="COO44" s="22"/>
      <c r="COP44" s="22"/>
      <c r="COQ44" s="22"/>
      <c r="COR44" s="22"/>
      <c r="COS44" s="22"/>
      <c r="COT44" s="22"/>
      <c r="COU44" s="22"/>
      <c r="COV44" s="22"/>
      <c r="COW44" s="22"/>
      <c r="COX44" s="22"/>
      <c r="COY44" s="22"/>
      <c r="COZ44" s="22"/>
      <c r="CPA44" s="22"/>
      <c r="CPB44" s="22"/>
      <c r="CPC44" s="22"/>
      <c r="CPD44" s="22"/>
      <c r="CPE44" s="22"/>
      <c r="CPF44" s="22"/>
      <c r="CPG44" s="22"/>
      <c r="CPH44" s="22"/>
      <c r="CPI44" s="22"/>
      <c r="CPJ44" s="22"/>
      <c r="CPK44" s="22"/>
      <c r="CPL44" s="22"/>
      <c r="CPM44" s="22"/>
      <c r="CPN44" s="22"/>
      <c r="CPO44" s="22"/>
      <c r="CPP44" s="22"/>
      <c r="CPQ44" s="22"/>
      <c r="CPR44" s="22"/>
      <c r="CPS44" s="22"/>
      <c r="CPT44" s="22"/>
      <c r="CPU44" s="22"/>
      <c r="CPV44" s="22"/>
      <c r="CPW44" s="22"/>
      <c r="CPX44" s="22"/>
      <c r="CPY44" s="22"/>
      <c r="CPZ44" s="22"/>
      <c r="CQA44" s="22"/>
      <c r="CQB44" s="22"/>
      <c r="CQC44" s="22"/>
      <c r="CQD44" s="22"/>
      <c r="CQE44" s="22"/>
      <c r="CQF44" s="22"/>
      <c r="CQG44" s="22"/>
      <c r="CQH44" s="22"/>
      <c r="CQI44" s="22"/>
      <c r="CQJ44" s="22"/>
      <c r="CQK44" s="22"/>
      <c r="CQL44" s="22"/>
      <c r="CQM44" s="22"/>
      <c r="CQN44" s="22"/>
      <c r="CQO44" s="22"/>
      <c r="CQP44" s="22"/>
      <c r="CQQ44" s="22"/>
      <c r="CQR44" s="22"/>
      <c r="CQS44" s="22"/>
      <c r="CQT44" s="22"/>
      <c r="CQU44" s="22"/>
      <c r="CQV44" s="22"/>
      <c r="CQW44" s="22"/>
      <c r="CQX44" s="22"/>
      <c r="CQY44" s="22"/>
      <c r="CQZ44" s="22"/>
      <c r="CRA44" s="22"/>
      <c r="CRB44" s="22"/>
      <c r="CRC44" s="22"/>
      <c r="CRD44" s="22"/>
      <c r="CRE44" s="22"/>
      <c r="CRF44" s="22"/>
      <c r="CRG44" s="22"/>
      <c r="CRH44" s="22"/>
      <c r="CRI44" s="22"/>
      <c r="CRJ44" s="22"/>
      <c r="CRK44" s="22"/>
      <c r="CRL44" s="22"/>
      <c r="CRM44" s="22"/>
      <c r="CRN44" s="22"/>
      <c r="CRO44" s="22"/>
      <c r="CRP44" s="22"/>
      <c r="CRQ44" s="22"/>
      <c r="CRR44" s="22"/>
      <c r="CRS44" s="22"/>
      <c r="CRT44" s="22"/>
      <c r="CRU44" s="22"/>
      <c r="CRV44" s="22"/>
      <c r="CRW44" s="22"/>
      <c r="CRX44" s="22"/>
      <c r="CRY44" s="22"/>
      <c r="CRZ44" s="22"/>
      <c r="CSA44" s="22"/>
      <c r="CSB44" s="22"/>
      <c r="CSC44" s="22"/>
      <c r="CSD44" s="22"/>
      <c r="CSE44" s="22"/>
      <c r="CSF44" s="22"/>
      <c r="CSG44" s="22"/>
      <c r="CSH44" s="22"/>
      <c r="CSI44" s="22"/>
      <c r="CSJ44" s="22"/>
      <c r="CSK44" s="22"/>
      <c r="CSL44" s="22"/>
      <c r="CSM44" s="22"/>
      <c r="CSN44" s="22"/>
      <c r="CSO44" s="22"/>
      <c r="CSP44" s="22"/>
      <c r="CSQ44" s="22"/>
      <c r="CSR44" s="22"/>
      <c r="CSS44" s="22"/>
      <c r="CST44" s="22"/>
      <c r="CSU44" s="22"/>
      <c r="CSV44" s="22"/>
      <c r="CSW44" s="22"/>
      <c r="CSX44" s="22"/>
      <c r="CSY44" s="22"/>
      <c r="CSZ44" s="22"/>
      <c r="CTA44" s="22"/>
      <c r="CTB44" s="22"/>
      <c r="CTC44" s="22"/>
      <c r="CTD44" s="22"/>
      <c r="CTE44" s="22"/>
      <c r="CTF44" s="22"/>
      <c r="CTG44" s="22"/>
      <c r="CTH44" s="22"/>
      <c r="CTI44" s="22"/>
      <c r="CTJ44" s="22"/>
      <c r="CTK44" s="22"/>
      <c r="CTL44" s="22"/>
      <c r="CTM44" s="22"/>
      <c r="CTN44" s="22"/>
      <c r="CTO44" s="22"/>
      <c r="CTP44" s="22"/>
      <c r="CTQ44" s="22"/>
      <c r="CTR44" s="22"/>
      <c r="CTS44" s="22"/>
      <c r="CTT44" s="22"/>
      <c r="CTU44" s="22"/>
      <c r="CTV44" s="22"/>
      <c r="CTW44" s="22"/>
      <c r="CTX44" s="22"/>
      <c r="CTY44" s="22"/>
      <c r="CTZ44" s="22"/>
      <c r="CUA44" s="22"/>
      <c r="CUB44" s="22"/>
      <c r="CUC44" s="22"/>
      <c r="CUD44" s="22"/>
      <c r="CUE44" s="22"/>
      <c r="CUF44" s="22"/>
      <c r="CUG44" s="22"/>
      <c r="CUH44" s="22"/>
      <c r="CUI44" s="22"/>
      <c r="CUJ44" s="22"/>
      <c r="CUK44" s="22"/>
      <c r="CUL44" s="22"/>
      <c r="CUM44" s="22"/>
      <c r="CUN44" s="22"/>
      <c r="CUO44" s="22"/>
      <c r="CUP44" s="22"/>
      <c r="CUQ44" s="22"/>
      <c r="CUR44" s="22"/>
      <c r="CUS44" s="22"/>
      <c r="CUT44" s="22"/>
      <c r="CUU44" s="22"/>
      <c r="CUV44" s="22"/>
      <c r="CUW44" s="22"/>
      <c r="CUX44" s="22"/>
      <c r="CUY44" s="22"/>
      <c r="CUZ44" s="22"/>
      <c r="CVA44" s="22"/>
      <c r="CVB44" s="22"/>
      <c r="CVC44" s="22"/>
      <c r="CVD44" s="22"/>
      <c r="CVE44" s="22"/>
      <c r="CVF44" s="22"/>
      <c r="CVG44" s="22"/>
      <c r="CVH44" s="22"/>
      <c r="CVI44" s="22"/>
      <c r="CVJ44" s="22"/>
      <c r="CVK44" s="22"/>
      <c r="CVL44" s="22"/>
      <c r="CVM44" s="22"/>
      <c r="CVN44" s="22"/>
      <c r="CVO44" s="22"/>
      <c r="CVP44" s="22"/>
      <c r="CVQ44" s="22"/>
      <c r="CVR44" s="22"/>
      <c r="CVS44" s="22"/>
      <c r="CVT44" s="22"/>
      <c r="CVU44" s="22"/>
      <c r="CVV44" s="22"/>
      <c r="CVW44" s="22"/>
      <c r="CVX44" s="22"/>
      <c r="CVY44" s="22"/>
      <c r="CVZ44" s="22"/>
      <c r="CWA44" s="22"/>
      <c r="CWB44" s="22"/>
      <c r="CWC44" s="22"/>
      <c r="CWD44" s="22"/>
      <c r="CWE44" s="22"/>
      <c r="CWF44" s="22"/>
      <c r="CWG44" s="22"/>
      <c r="CWH44" s="22"/>
      <c r="CWI44" s="22"/>
      <c r="CWJ44" s="22"/>
      <c r="CWK44" s="22"/>
      <c r="CWL44" s="22"/>
      <c r="CWM44" s="22"/>
      <c r="CWN44" s="22"/>
      <c r="CWO44" s="22"/>
      <c r="CWP44" s="22"/>
      <c r="CWQ44" s="22"/>
      <c r="CWR44" s="22"/>
      <c r="CWS44" s="22"/>
      <c r="CWT44" s="22"/>
      <c r="CWU44" s="22"/>
      <c r="CWV44" s="22"/>
      <c r="CWW44" s="22"/>
      <c r="CWX44" s="22"/>
      <c r="CWY44" s="22"/>
      <c r="CWZ44" s="22"/>
      <c r="CXA44" s="22"/>
      <c r="CXB44" s="22"/>
      <c r="CXC44" s="22"/>
      <c r="CXD44" s="22"/>
      <c r="CXE44" s="22"/>
      <c r="CXF44" s="22"/>
      <c r="CXG44" s="22"/>
      <c r="CXH44" s="22"/>
      <c r="CXI44" s="22"/>
      <c r="CXJ44" s="22"/>
      <c r="CXK44" s="22"/>
      <c r="CXL44" s="22"/>
      <c r="CXM44" s="22"/>
      <c r="CXN44" s="22"/>
      <c r="CXO44" s="22"/>
      <c r="CXP44" s="22"/>
      <c r="CXQ44" s="22"/>
      <c r="CXR44" s="22"/>
      <c r="CXS44" s="22"/>
      <c r="CXT44" s="22"/>
      <c r="CXU44" s="22"/>
      <c r="CXV44" s="22"/>
      <c r="CXW44" s="22"/>
      <c r="CXX44" s="22"/>
      <c r="CXY44" s="22"/>
      <c r="CXZ44" s="22"/>
      <c r="CYA44" s="22"/>
      <c r="CYB44" s="22"/>
      <c r="CYC44" s="22"/>
      <c r="CYD44" s="22"/>
      <c r="CYE44" s="22"/>
      <c r="CYF44" s="22"/>
      <c r="CYG44" s="22"/>
      <c r="CYH44" s="22"/>
      <c r="CYI44" s="22"/>
      <c r="CYJ44" s="22"/>
      <c r="CYK44" s="22"/>
      <c r="CYL44" s="22"/>
      <c r="CYM44" s="22"/>
      <c r="CYN44" s="22"/>
      <c r="CYO44" s="22"/>
      <c r="CYP44" s="22"/>
      <c r="CYQ44" s="22"/>
      <c r="CYR44" s="22"/>
      <c r="CYS44" s="22"/>
      <c r="CYT44" s="22"/>
      <c r="CYU44" s="22"/>
      <c r="CYV44" s="22"/>
      <c r="CYW44" s="22"/>
      <c r="CYX44" s="22"/>
      <c r="CYY44" s="22"/>
      <c r="CYZ44" s="22"/>
      <c r="CZA44" s="22"/>
      <c r="CZB44" s="22"/>
      <c r="CZC44" s="22"/>
      <c r="CZD44" s="22"/>
      <c r="CZE44" s="22"/>
      <c r="CZF44" s="22"/>
      <c r="CZG44" s="22"/>
      <c r="CZH44" s="22"/>
      <c r="CZI44" s="22"/>
      <c r="CZJ44" s="22"/>
      <c r="CZK44" s="22"/>
      <c r="CZL44" s="22"/>
      <c r="CZM44" s="22"/>
      <c r="CZN44" s="22"/>
      <c r="CZO44" s="22"/>
      <c r="CZP44" s="22"/>
      <c r="CZQ44" s="22"/>
      <c r="CZR44" s="22"/>
      <c r="CZS44" s="22"/>
      <c r="CZT44" s="22"/>
      <c r="CZU44" s="22"/>
      <c r="CZV44" s="22"/>
      <c r="CZW44" s="22"/>
      <c r="CZX44" s="22"/>
      <c r="CZY44" s="22"/>
      <c r="CZZ44" s="22"/>
      <c r="DAA44" s="22"/>
      <c r="DAB44" s="22"/>
      <c r="DAC44" s="22"/>
      <c r="DAD44" s="22"/>
      <c r="DAE44" s="22"/>
      <c r="DAF44" s="22"/>
      <c r="DAG44" s="22"/>
      <c r="DAH44" s="22"/>
      <c r="DAI44" s="22"/>
      <c r="DAJ44" s="22"/>
      <c r="DAK44" s="22"/>
      <c r="DAL44" s="22"/>
      <c r="DAM44" s="22"/>
      <c r="DAN44" s="22"/>
      <c r="DAO44" s="22"/>
      <c r="DAP44" s="22"/>
      <c r="DAQ44" s="22"/>
      <c r="DAR44" s="22"/>
      <c r="DAS44" s="22"/>
      <c r="DAT44" s="22"/>
      <c r="DAU44" s="22"/>
      <c r="DAV44" s="22"/>
      <c r="DAW44" s="22"/>
      <c r="DAX44" s="22"/>
      <c r="DAY44" s="22"/>
      <c r="DAZ44" s="22"/>
      <c r="DBA44" s="22"/>
      <c r="DBB44" s="22"/>
      <c r="DBC44" s="22"/>
      <c r="DBD44" s="22"/>
      <c r="DBE44" s="22"/>
      <c r="DBF44" s="22"/>
      <c r="DBG44" s="22"/>
      <c r="DBH44" s="22"/>
      <c r="DBI44" s="22"/>
      <c r="DBJ44" s="22"/>
      <c r="DBK44" s="22"/>
      <c r="DBL44" s="22"/>
      <c r="DBM44" s="22"/>
      <c r="DBN44" s="22"/>
      <c r="DBO44" s="22"/>
      <c r="DBP44" s="22"/>
      <c r="DBQ44" s="22"/>
      <c r="DBR44" s="22"/>
      <c r="DBS44" s="22"/>
      <c r="DBT44" s="22"/>
      <c r="DBU44" s="22"/>
      <c r="DBV44" s="22"/>
      <c r="DBW44" s="22"/>
      <c r="DBX44" s="22"/>
      <c r="DBY44" s="22"/>
      <c r="DBZ44" s="22"/>
      <c r="DCA44" s="22"/>
      <c r="DCB44" s="22"/>
      <c r="DCC44" s="22"/>
      <c r="DCD44" s="22"/>
      <c r="DCE44" s="22"/>
      <c r="DCF44" s="22"/>
      <c r="DCG44" s="22"/>
      <c r="DCH44" s="22"/>
      <c r="DCI44" s="22"/>
      <c r="DCJ44" s="22"/>
      <c r="DCK44" s="22"/>
      <c r="DCL44" s="22"/>
      <c r="DCM44" s="22"/>
      <c r="DCN44" s="22"/>
      <c r="DCO44" s="22"/>
      <c r="DCP44" s="22"/>
      <c r="DCQ44" s="22"/>
      <c r="DCR44" s="22"/>
      <c r="DCS44" s="22"/>
      <c r="DCT44" s="22"/>
      <c r="DCU44" s="22"/>
      <c r="DCV44" s="22"/>
      <c r="DCW44" s="22"/>
      <c r="DCX44" s="22"/>
      <c r="DCY44" s="22"/>
      <c r="DCZ44" s="22"/>
      <c r="DDA44" s="22"/>
      <c r="DDB44" s="22"/>
      <c r="DDC44" s="22"/>
      <c r="DDD44" s="22"/>
      <c r="DDE44" s="22"/>
      <c r="DDF44" s="22"/>
      <c r="DDG44" s="22"/>
      <c r="DDH44" s="22"/>
      <c r="DDI44" s="22"/>
      <c r="DDJ44" s="22"/>
      <c r="DDK44" s="22"/>
      <c r="DDL44" s="22"/>
      <c r="DDM44" s="22"/>
      <c r="DDN44" s="22"/>
      <c r="DDO44" s="22"/>
      <c r="DDP44" s="22"/>
      <c r="DDQ44" s="22"/>
      <c r="DDR44" s="22"/>
      <c r="DDS44" s="22"/>
      <c r="DDT44" s="22"/>
      <c r="DDU44" s="22"/>
      <c r="DDV44" s="22"/>
      <c r="DDW44" s="22"/>
      <c r="DDX44" s="22"/>
      <c r="DDY44" s="22"/>
      <c r="DDZ44" s="22"/>
      <c r="DEA44" s="22"/>
      <c r="DEB44" s="22"/>
      <c r="DEC44" s="22"/>
      <c r="DED44" s="22"/>
      <c r="DEE44" s="22"/>
      <c r="DEF44" s="22"/>
      <c r="DEG44" s="22"/>
      <c r="DEH44" s="22"/>
      <c r="DEI44" s="22"/>
      <c r="DEJ44" s="22"/>
      <c r="DEK44" s="22"/>
      <c r="DEL44" s="22"/>
      <c r="DEM44" s="22"/>
      <c r="DEN44" s="22"/>
      <c r="DEO44" s="22"/>
      <c r="DEP44" s="22"/>
      <c r="DEQ44" s="22"/>
      <c r="DER44" s="22"/>
      <c r="DES44" s="22"/>
      <c r="DET44" s="22"/>
      <c r="DEU44" s="22"/>
      <c r="DEV44" s="22"/>
      <c r="DEW44" s="22"/>
      <c r="DEX44" s="22"/>
      <c r="DEY44" s="22"/>
      <c r="DEZ44" s="22"/>
      <c r="DFA44" s="22"/>
      <c r="DFB44" s="22"/>
      <c r="DFC44" s="22"/>
      <c r="DFD44" s="22"/>
      <c r="DFE44" s="22"/>
      <c r="DFF44" s="22"/>
      <c r="DFG44" s="22"/>
      <c r="DFH44" s="22"/>
      <c r="DFI44" s="22"/>
      <c r="DFJ44" s="22"/>
      <c r="DFK44" s="22"/>
      <c r="DFL44" s="22"/>
      <c r="DFM44" s="22"/>
      <c r="DFN44" s="22"/>
      <c r="DFO44" s="22"/>
      <c r="DFP44" s="22"/>
      <c r="DFQ44" s="22"/>
      <c r="DFR44" s="22"/>
      <c r="DFS44" s="22"/>
      <c r="DFT44" s="22"/>
      <c r="DFU44" s="22"/>
      <c r="DFV44" s="22"/>
      <c r="DFW44" s="22"/>
      <c r="DFX44" s="22"/>
      <c r="DFY44" s="22"/>
      <c r="DFZ44" s="22"/>
      <c r="DGA44" s="22"/>
      <c r="DGB44" s="22"/>
      <c r="DGC44" s="22"/>
      <c r="DGD44" s="22"/>
      <c r="DGE44" s="22"/>
      <c r="DGF44" s="22"/>
      <c r="DGG44" s="22"/>
      <c r="DGH44" s="22"/>
      <c r="DGI44" s="22"/>
      <c r="DGJ44" s="22"/>
      <c r="DGK44" s="22"/>
      <c r="DGL44" s="22"/>
      <c r="DGM44" s="22"/>
      <c r="DGN44" s="22"/>
      <c r="DGO44" s="22"/>
      <c r="DGP44" s="22"/>
      <c r="DGQ44" s="22"/>
      <c r="DGR44" s="22"/>
      <c r="DGS44" s="22"/>
      <c r="DGT44" s="22"/>
      <c r="DGU44" s="22"/>
      <c r="DGV44" s="22"/>
      <c r="DGW44" s="22"/>
      <c r="DGX44" s="22"/>
      <c r="DGY44" s="22"/>
      <c r="DGZ44" s="22"/>
      <c r="DHA44" s="22"/>
      <c r="DHB44" s="22"/>
      <c r="DHC44" s="22"/>
      <c r="DHD44" s="22"/>
      <c r="DHE44" s="22"/>
      <c r="DHF44" s="22"/>
      <c r="DHG44" s="22"/>
      <c r="DHH44" s="22"/>
      <c r="DHI44" s="22"/>
      <c r="DHJ44" s="22"/>
      <c r="DHK44" s="22"/>
      <c r="DHL44" s="22"/>
      <c r="DHM44" s="22"/>
      <c r="DHN44" s="22"/>
      <c r="DHO44" s="22"/>
      <c r="DHP44" s="22"/>
      <c r="DHQ44" s="22"/>
      <c r="DHR44" s="22"/>
      <c r="DHS44" s="22"/>
      <c r="DHT44" s="22"/>
      <c r="DHU44" s="22"/>
      <c r="DHV44" s="22"/>
      <c r="DHW44" s="22"/>
      <c r="DHX44" s="22"/>
      <c r="DHY44" s="22"/>
      <c r="DHZ44" s="22"/>
      <c r="DIA44" s="22"/>
      <c r="DIB44" s="22"/>
      <c r="DIC44" s="22"/>
      <c r="DID44" s="22"/>
      <c r="DIE44" s="22"/>
      <c r="DIF44" s="22"/>
      <c r="DIG44" s="22"/>
      <c r="DIH44" s="22"/>
      <c r="DII44" s="22"/>
      <c r="DIJ44" s="22"/>
      <c r="DIK44" s="22"/>
      <c r="DIL44" s="22"/>
      <c r="DIM44" s="22"/>
      <c r="DIN44" s="22"/>
      <c r="DIO44" s="22"/>
      <c r="DIP44" s="22"/>
      <c r="DIQ44" s="22"/>
      <c r="DIR44" s="22"/>
      <c r="DIS44" s="22"/>
      <c r="DIT44" s="22"/>
      <c r="DIU44" s="22"/>
      <c r="DIV44" s="22"/>
      <c r="DIW44" s="22"/>
      <c r="DIX44" s="22"/>
      <c r="DIY44" s="22"/>
      <c r="DIZ44" s="22"/>
      <c r="DJA44" s="22"/>
      <c r="DJB44" s="22"/>
      <c r="DJC44" s="22"/>
      <c r="DJD44" s="22"/>
      <c r="DJE44" s="22"/>
      <c r="DJF44" s="22"/>
      <c r="DJG44" s="22"/>
      <c r="DJH44" s="22"/>
      <c r="DJI44" s="22"/>
      <c r="DJJ44" s="22"/>
      <c r="DJK44" s="22"/>
      <c r="DJL44" s="22"/>
      <c r="DJM44" s="22"/>
      <c r="DJN44" s="22"/>
      <c r="DJO44" s="22"/>
      <c r="DJP44" s="22"/>
      <c r="DJQ44" s="22"/>
      <c r="DJR44" s="22"/>
      <c r="DJS44" s="22"/>
      <c r="DJT44" s="22"/>
      <c r="DJU44" s="22"/>
      <c r="DJV44" s="22"/>
      <c r="DJW44" s="22"/>
      <c r="DJX44" s="22"/>
      <c r="DJY44" s="22"/>
      <c r="DJZ44" s="22"/>
      <c r="DKA44" s="22"/>
      <c r="DKB44" s="22"/>
      <c r="DKC44" s="22"/>
      <c r="DKD44" s="22"/>
      <c r="DKE44" s="22"/>
      <c r="DKF44" s="22"/>
      <c r="DKG44" s="22"/>
      <c r="DKH44" s="22"/>
      <c r="DKI44" s="22"/>
      <c r="DKJ44" s="22"/>
      <c r="DKK44" s="22"/>
      <c r="DKL44" s="22"/>
      <c r="DKM44" s="22"/>
      <c r="DKN44" s="22"/>
      <c r="DKO44" s="22"/>
      <c r="DKP44" s="22"/>
      <c r="DKQ44" s="22"/>
      <c r="DKR44" s="22"/>
      <c r="DKS44" s="22"/>
      <c r="DKT44" s="22"/>
      <c r="DKU44" s="22"/>
      <c r="DKV44" s="22"/>
      <c r="DKW44" s="22"/>
      <c r="DKX44" s="22"/>
      <c r="DKY44" s="22"/>
      <c r="DKZ44" s="22"/>
      <c r="DLA44" s="22"/>
      <c r="DLB44" s="22"/>
      <c r="DLC44" s="22"/>
      <c r="DLD44" s="22"/>
      <c r="DLE44" s="22"/>
      <c r="DLF44" s="22"/>
      <c r="DLG44" s="22"/>
      <c r="DLH44" s="22"/>
      <c r="DLI44" s="22"/>
      <c r="DLJ44" s="22"/>
      <c r="DLK44" s="22"/>
      <c r="DLL44" s="22"/>
      <c r="DLM44" s="22"/>
      <c r="DLN44" s="22"/>
      <c r="DLO44" s="22"/>
      <c r="DLP44" s="22"/>
      <c r="DLQ44" s="22"/>
      <c r="DLR44" s="22"/>
      <c r="DLS44" s="22"/>
      <c r="DLT44" s="22"/>
      <c r="DLU44" s="22"/>
      <c r="DLV44" s="22"/>
      <c r="DLW44" s="22"/>
      <c r="DLX44" s="22"/>
      <c r="DLY44" s="22"/>
      <c r="DLZ44" s="22"/>
      <c r="DMA44" s="22"/>
      <c r="DMB44" s="22"/>
      <c r="DMC44" s="22"/>
      <c r="DMD44" s="22"/>
      <c r="DME44" s="22"/>
      <c r="DMF44" s="22"/>
      <c r="DMG44" s="22"/>
      <c r="DMH44" s="22"/>
      <c r="DMI44" s="22"/>
      <c r="DMJ44" s="22"/>
      <c r="DMK44" s="22"/>
      <c r="DML44" s="22"/>
      <c r="DMM44" s="22"/>
      <c r="DMN44" s="22"/>
      <c r="DMO44" s="22"/>
      <c r="DMP44" s="22"/>
      <c r="DMQ44" s="22"/>
      <c r="DMR44" s="22"/>
      <c r="DMS44" s="22"/>
      <c r="DMT44" s="22"/>
      <c r="DMU44" s="22"/>
      <c r="DMV44" s="22"/>
      <c r="DMW44" s="22"/>
      <c r="DMX44" s="22"/>
      <c r="DMY44" s="22"/>
      <c r="DMZ44" s="22"/>
      <c r="DNA44" s="22"/>
      <c r="DNB44" s="22"/>
      <c r="DNC44" s="22"/>
      <c r="DND44" s="22"/>
      <c r="DNE44" s="22"/>
      <c r="DNF44" s="22"/>
      <c r="DNG44" s="22"/>
      <c r="DNH44" s="22"/>
      <c r="DNI44" s="22"/>
      <c r="DNJ44" s="22"/>
      <c r="DNK44" s="22"/>
      <c r="DNL44" s="22"/>
      <c r="DNM44" s="22"/>
      <c r="DNN44" s="22"/>
      <c r="DNO44" s="22"/>
      <c r="DNP44" s="22"/>
      <c r="DNQ44" s="22"/>
      <c r="DNR44" s="22"/>
      <c r="DNS44" s="22"/>
      <c r="DNT44" s="22"/>
      <c r="DNU44" s="22"/>
      <c r="DNV44" s="22"/>
      <c r="DNW44" s="22"/>
      <c r="DNX44" s="22"/>
      <c r="DNY44" s="22"/>
      <c r="DNZ44" s="22"/>
      <c r="DOA44" s="22"/>
      <c r="DOB44" s="22"/>
      <c r="DOC44" s="22"/>
      <c r="DOD44" s="22"/>
      <c r="DOE44" s="22"/>
      <c r="DOF44" s="22"/>
      <c r="DOG44" s="22"/>
      <c r="DOH44" s="22"/>
      <c r="DOI44" s="22"/>
      <c r="DOJ44" s="22"/>
      <c r="DOK44" s="22"/>
      <c r="DOL44" s="22"/>
      <c r="DOM44" s="22"/>
      <c r="DON44" s="22"/>
      <c r="DOO44" s="22"/>
      <c r="DOP44" s="22"/>
      <c r="DOQ44" s="22"/>
      <c r="DOR44" s="22"/>
      <c r="DOS44" s="22"/>
      <c r="DOT44" s="22"/>
      <c r="DOU44" s="22"/>
      <c r="DOV44" s="22"/>
      <c r="DOW44" s="22"/>
      <c r="DOX44" s="22"/>
      <c r="DOY44" s="22"/>
      <c r="DOZ44" s="22"/>
      <c r="DPA44" s="22"/>
      <c r="DPB44" s="22"/>
      <c r="DPC44" s="22"/>
      <c r="DPD44" s="22"/>
      <c r="DPE44" s="22"/>
      <c r="DPF44" s="22"/>
      <c r="DPG44" s="22"/>
      <c r="DPH44" s="22"/>
      <c r="DPI44" s="22"/>
      <c r="DPJ44" s="22"/>
      <c r="DPK44" s="22"/>
      <c r="DPL44" s="22"/>
      <c r="DPM44" s="22"/>
      <c r="DPN44" s="22"/>
      <c r="DPO44" s="22"/>
      <c r="DPP44" s="22"/>
      <c r="DPQ44" s="22"/>
      <c r="DPR44" s="22"/>
      <c r="DPS44" s="22"/>
      <c r="DPT44" s="22"/>
      <c r="DPU44" s="22"/>
      <c r="DPV44" s="22"/>
      <c r="DPW44" s="22"/>
      <c r="DPX44" s="22"/>
      <c r="DPY44" s="22"/>
      <c r="DPZ44" s="22"/>
      <c r="DQA44" s="22"/>
      <c r="DQB44" s="22"/>
      <c r="DQC44" s="22"/>
      <c r="DQD44" s="22"/>
      <c r="DQE44" s="22"/>
      <c r="DQF44" s="22"/>
      <c r="DQG44" s="22"/>
      <c r="DQH44" s="22"/>
      <c r="DQI44" s="22"/>
      <c r="DQJ44" s="22"/>
      <c r="DQK44" s="22"/>
      <c r="DQL44" s="22"/>
      <c r="DQM44" s="22"/>
      <c r="DQN44" s="22"/>
      <c r="DQO44" s="22"/>
      <c r="DQP44" s="22"/>
      <c r="DQQ44" s="22"/>
      <c r="DQR44" s="22"/>
      <c r="DQS44" s="22"/>
      <c r="DQT44" s="22"/>
      <c r="DQU44" s="22"/>
      <c r="DQV44" s="22"/>
      <c r="DQW44" s="22"/>
      <c r="DQX44" s="22"/>
      <c r="DQY44" s="22"/>
      <c r="DQZ44" s="22"/>
      <c r="DRA44" s="22"/>
      <c r="DRB44" s="22"/>
      <c r="DRC44" s="22"/>
      <c r="DRD44" s="22"/>
      <c r="DRE44" s="22"/>
      <c r="DRF44" s="22"/>
      <c r="DRG44" s="22"/>
      <c r="DRH44" s="22"/>
      <c r="DRI44" s="22"/>
      <c r="DRJ44" s="22"/>
      <c r="DRK44" s="22"/>
      <c r="DRL44" s="22"/>
      <c r="DRM44" s="22"/>
      <c r="DRN44" s="22"/>
      <c r="DRO44" s="22"/>
      <c r="DRP44" s="22"/>
      <c r="DRQ44" s="22"/>
      <c r="DRR44" s="22"/>
      <c r="DRS44" s="22"/>
      <c r="DRT44" s="22"/>
      <c r="DRU44" s="22"/>
      <c r="DRV44" s="22"/>
      <c r="DRW44" s="22"/>
      <c r="DRX44" s="22"/>
      <c r="DRY44" s="22"/>
      <c r="DRZ44" s="22"/>
      <c r="DSA44" s="22"/>
      <c r="DSB44" s="22"/>
      <c r="DSC44" s="22"/>
      <c r="DSD44" s="22"/>
      <c r="DSE44" s="22"/>
      <c r="DSF44" s="22"/>
      <c r="DSG44" s="22"/>
      <c r="DSH44" s="22"/>
      <c r="DSI44" s="22"/>
      <c r="DSJ44" s="22"/>
      <c r="DSK44" s="22"/>
      <c r="DSL44" s="22"/>
      <c r="DSM44" s="22"/>
      <c r="DSN44" s="22"/>
      <c r="DSO44" s="22"/>
      <c r="DSP44" s="22"/>
      <c r="DSQ44" s="22"/>
      <c r="DSR44" s="22"/>
      <c r="DSS44" s="22"/>
      <c r="DST44" s="22"/>
      <c r="DSU44" s="22"/>
      <c r="DSV44" s="22"/>
      <c r="DSW44" s="22"/>
      <c r="DSX44" s="22"/>
      <c r="DSY44" s="22"/>
      <c r="DSZ44" s="22"/>
      <c r="DTA44" s="22"/>
      <c r="DTB44" s="22"/>
      <c r="DTC44" s="22"/>
      <c r="DTD44" s="22"/>
      <c r="DTE44" s="22"/>
      <c r="DTF44" s="22"/>
      <c r="DTG44" s="22"/>
      <c r="DTH44" s="22"/>
      <c r="DTI44" s="22"/>
      <c r="DTJ44" s="22"/>
      <c r="DTK44" s="22"/>
      <c r="DTL44" s="22"/>
      <c r="DTM44" s="22"/>
      <c r="DTN44" s="22"/>
      <c r="DTO44" s="22"/>
      <c r="DTP44" s="22"/>
      <c r="DTQ44" s="22"/>
      <c r="DTR44" s="22"/>
      <c r="DTS44" s="22"/>
      <c r="DTT44" s="22"/>
      <c r="DTU44" s="22"/>
      <c r="DTV44" s="22"/>
      <c r="DTW44" s="22"/>
      <c r="DTX44" s="22"/>
      <c r="DTY44" s="22"/>
      <c r="DTZ44" s="22"/>
      <c r="DUA44" s="22"/>
      <c r="DUB44" s="22"/>
      <c r="DUC44" s="22"/>
      <c r="DUD44" s="22"/>
      <c r="DUE44" s="22"/>
      <c r="DUF44" s="22"/>
      <c r="DUG44" s="22"/>
      <c r="DUH44" s="22"/>
      <c r="DUI44" s="22"/>
      <c r="DUJ44" s="22"/>
      <c r="DUK44" s="22"/>
      <c r="DUL44" s="22"/>
      <c r="DUM44" s="22"/>
      <c r="DUN44" s="22"/>
      <c r="DUO44" s="22"/>
      <c r="DUP44" s="22"/>
      <c r="DUQ44" s="22"/>
      <c r="DUR44" s="22"/>
      <c r="DUS44" s="22"/>
      <c r="DUT44" s="22"/>
      <c r="DUU44" s="22"/>
      <c r="DUV44" s="22"/>
      <c r="DUW44" s="22"/>
      <c r="DUX44" s="22"/>
      <c r="DUY44" s="22"/>
      <c r="DUZ44" s="22"/>
      <c r="DVA44" s="22"/>
      <c r="DVB44" s="22"/>
      <c r="DVC44" s="22"/>
      <c r="DVD44" s="22"/>
      <c r="DVE44" s="22"/>
      <c r="DVF44" s="22"/>
      <c r="DVG44" s="22"/>
      <c r="DVH44" s="22"/>
      <c r="DVI44" s="22"/>
      <c r="DVJ44" s="22"/>
      <c r="DVK44" s="22"/>
      <c r="DVL44" s="22"/>
      <c r="DVM44" s="22"/>
      <c r="DVN44" s="22"/>
      <c r="DVO44" s="22"/>
      <c r="DVP44" s="22"/>
      <c r="DVQ44" s="22"/>
      <c r="DVR44" s="22"/>
      <c r="DVS44" s="22"/>
      <c r="DVT44" s="22"/>
      <c r="DVU44" s="22"/>
      <c r="DVV44" s="22"/>
      <c r="DVW44" s="22"/>
      <c r="DVX44" s="22"/>
      <c r="DVY44" s="22"/>
      <c r="DVZ44" s="22"/>
      <c r="DWA44" s="22"/>
      <c r="DWB44" s="22"/>
      <c r="DWC44" s="22"/>
      <c r="DWD44" s="22"/>
      <c r="DWE44" s="22"/>
      <c r="DWF44" s="22"/>
      <c r="DWG44" s="22"/>
      <c r="DWH44" s="22"/>
      <c r="DWI44" s="22"/>
      <c r="DWJ44" s="22"/>
      <c r="DWK44" s="22"/>
      <c r="DWL44" s="22"/>
      <c r="DWM44" s="22"/>
      <c r="DWN44" s="22"/>
      <c r="DWO44" s="22"/>
      <c r="DWP44" s="22"/>
      <c r="DWQ44" s="22"/>
      <c r="DWR44" s="22"/>
      <c r="DWS44" s="22"/>
      <c r="DWT44" s="22"/>
      <c r="DWU44" s="22"/>
      <c r="DWV44" s="22"/>
      <c r="DWW44" s="22"/>
      <c r="DWX44" s="22"/>
      <c r="DWY44" s="22"/>
      <c r="DWZ44" s="22"/>
      <c r="DXA44" s="22"/>
      <c r="DXB44" s="22"/>
      <c r="DXC44" s="22"/>
      <c r="DXD44" s="22"/>
      <c r="DXE44" s="22"/>
      <c r="DXF44" s="22"/>
      <c r="DXG44" s="22"/>
      <c r="DXH44" s="22"/>
      <c r="DXI44" s="22"/>
      <c r="DXJ44" s="22"/>
      <c r="DXK44" s="22"/>
      <c r="DXL44" s="22"/>
      <c r="DXM44" s="22"/>
      <c r="DXN44" s="22"/>
      <c r="DXO44" s="22"/>
      <c r="DXP44" s="22"/>
      <c r="DXQ44" s="22"/>
      <c r="DXR44" s="22"/>
      <c r="DXS44" s="22"/>
      <c r="DXT44" s="22"/>
      <c r="DXU44" s="22"/>
      <c r="DXV44" s="22"/>
      <c r="DXW44" s="22"/>
      <c r="DXX44" s="22"/>
      <c r="DXY44" s="22"/>
      <c r="DXZ44" s="22"/>
      <c r="DYA44" s="22"/>
      <c r="DYB44" s="22"/>
      <c r="DYC44" s="22"/>
      <c r="DYD44" s="22"/>
      <c r="DYE44" s="22"/>
      <c r="DYF44" s="22"/>
      <c r="DYG44" s="22"/>
      <c r="DYH44" s="22"/>
      <c r="DYI44" s="22"/>
      <c r="DYJ44" s="22"/>
      <c r="DYK44" s="22"/>
      <c r="DYL44" s="22"/>
      <c r="DYM44" s="22"/>
      <c r="DYN44" s="22"/>
      <c r="DYO44" s="22"/>
      <c r="DYP44" s="22"/>
      <c r="DYQ44" s="22"/>
      <c r="DYR44" s="22"/>
      <c r="DYS44" s="22"/>
      <c r="DYT44" s="22"/>
      <c r="DYU44" s="22"/>
      <c r="DYV44" s="22"/>
      <c r="DYW44" s="22"/>
      <c r="DYX44" s="22"/>
      <c r="DYY44" s="22"/>
      <c r="DYZ44" s="22"/>
      <c r="DZA44" s="22"/>
      <c r="DZB44" s="22"/>
      <c r="DZC44" s="22"/>
      <c r="DZD44" s="22"/>
      <c r="DZE44" s="22"/>
      <c r="DZF44" s="22"/>
      <c r="DZG44" s="22"/>
      <c r="DZH44" s="22"/>
      <c r="DZI44" s="22"/>
      <c r="DZJ44" s="22"/>
      <c r="DZK44" s="22"/>
      <c r="DZL44" s="22"/>
      <c r="DZM44" s="22"/>
      <c r="DZN44" s="22"/>
      <c r="DZO44" s="22"/>
      <c r="DZP44" s="22"/>
      <c r="DZQ44" s="22"/>
      <c r="DZR44" s="22"/>
      <c r="DZS44" s="22"/>
      <c r="DZT44" s="22"/>
      <c r="DZU44" s="22"/>
      <c r="DZV44" s="22"/>
      <c r="DZW44" s="22"/>
      <c r="DZX44" s="22"/>
      <c r="DZY44" s="22"/>
      <c r="DZZ44" s="22"/>
      <c r="EAA44" s="22"/>
      <c r="EAB44" s="22"/>
      <c r="EAC44" s="22"/>
      <c r="EAD44" s="22"/>
      <c r="EAE44" s="22"/>
      <c r="EAF44" s="22"/>
      <c r="EAG44" s="22"/>
      <c r="EAH44" s="22"/>
      <c r="EAI44" s="22"/>
      <c r="EAJ44" s="22"/>
      <c r="EAK44" s="22"/>
      <c r="EAL44" s="22"/>
      <c r="EAM44" s="22"/>
      <c r="EAN44" s="22"/>
      <c r="EAO44" s="22"/>
      <c r="EAP44" s="22"/>
      <c r="EAQ44" s="22"/>
      <c r="EAR44" s="22"/>
      <c r="EAS44" s="22"/>
      <c r="EAT44" s="22"/>
      <c r="EAU44" s="22"/>
      <c r="EAV44" s="22"/>
      <c r="EAW44" s="22"/>
      <c r="EAX44" s="22"/>
      <c r="EAY44" s="22"/>
      <c r="EAZ44" s="22"/>
      <c r="EBA44" s="22"/>
      <c r="EBB44" s="22"/>
      <c r="EBC44" s="22"/>
      <c r="EBD44" s="22"/>
      <c r="EBE44" s="22"/>
      <c r="EBF44" s="22"/>
      <c r="EBG44" s="22"/>
      <c r="EBH44" s="22"/>
      <c r="EBI44" s="22"/>
      <c r="EBJ44" s="22"/>
      <c r="EBK44" s="22"/>
      <c r="EBL44" s="22"/>
      <c r="EBM44" s="22"/>
      <c r="EBN44" s="22"/>
      <c r="EBO44" s="22"/>
      <c r="EBP44" s="22"/>
      <c r="EBQ44" s="22"/>
      <c r="EBR44" s="22"/>
      <c r="EBS44" s="22"/>
      <c r="EBT44" s="22"/>
      <c r="EBU44" s="22"/>
      <c r="EBV44" s="22"/>
      <c r="EBW44" s="22"/>
      <c r="EBX44" s="22"/>
      <c r="EBY44" s="22"/>
      <c r="EBZ44" s="22"/>
      <c r="ECA44" s="22"/>
      <c r="ECB44" s="22"/>
      <c r="ECC44" s="22"/>
      <c r="ECD44" s="22"/>
      <c r="ECE44" s="22"/>
      <c r="ECF44" s="22"/>
      <c r="ECG44" s="22"/>
      <c r="ECH44" s="22"/>
      <c r="ECI44" s="22"/>
      <c r="ECJ44" s="22"/>
      <c r="ECK44" s="22"/>
      <c r="ECL44" s="22"/>
      <c r="ECM44" s="22"/>
      <c r="ECN44" s="22"/>
      <c r="ECO44" s="22"/>
      <c r="ECP44" s="22"/>
      <c r="ECQ44" s="22"/>
      <c r="ECR44" s="22"/>
      <c r="ECS44" s="22"/>
      <c r="ECT44" s="22"/>
      <c r="ECU44" s="22"/>
      <c r="ECV44" s="22"/>
      <c r="ECW44" s="22"/>
      <c r="ECX44" s="22"/>
      <c r="ECY44" s="22"/>
      <c r="ECZ44" s="22"/>
      <c r="EDA44" s="22"/>
      <c r="EDB44" s="22"/>
      <c r="EDC44" s="22"/>
      <c r="EDD44" s="22"/>
      <c r="EDE44" s="22"/>
      <c r="EDF44" s="22"/>
      <c r="EDG44" s="22"/>
      <c r="EDH44" s="22"/>
      <c r="EDI44" s="22"/>
      <c r="EDJ44" s="22"/>
      <c r="EDK44" s="22"/>
      <c r="EDL44" s="22"/>
      <c r="EDM44" s="22"/>
      <c r="EDN44" s="22"/>
      <c r="EDO44" s="22"/>
      <c r="EDP44" s="22"/>
      <c r="EDQ44" s="22"/>
      <c r="EDR44" s="22"/>
      <c r="EDS44" s="22"/>
      <c r="EDT44" s="22"/>
      <c r="EDU44" s="22"/>
      <c r="EDV44" s="22"/>
      <c r="EDW44" s="22"/>
      <c r="EDX44" s="22"/>
      <c r="EDY44" s="22"/>
      <c r="EDZ44" s="22"/>
      <c r="EEA44" s="22"/>
      <c r="EEB44" s="22"/>
      <c r="EEC44" s="22"/>
      <c r="EED44" s="22"/>
      <c r="EEE44" s="22"/>
      <c r="EEF44" s="22"/>
      <c r="EEG44" s="22"/>
      <c r="EEH44" s="22"/>
      <c r="EEI44" s="22"/>
      <c r="EEJ44" s="22"/>
      <c r="EEK44" s="22"/>
      <c r="EEL44" s="22"/>
      <c r="EEM44" s="22"/>
      <c r="EEN44" s="22"/>
      <c r="EEO44" s="22"/>
      <c r="EEP44" s="22"/>
      <c r="EEQ44" s="22"/>
      <c r="EER44" s="22"/>
      <c r="EES44" s="22"/>
      <c r="EET44" s="22"/>
      <c r="EEU44" s="22"/>
      <c r="EEV44" s="22"/>
      <c r="EEW44" s="22"/>
      <c r="EEX44" s="22"/>
      <c r="EEY44" s="22"/>
      <c r="EEZ44" s="22"/>
      <c r="EFA44" s="22"/>
      <c r="EFB44" s="22"/>
      <c r="EFC44" s="22"/>
      <c r="EFD44" s="22"/>
      <c r="EFE44" s="22"/>
      <c r="EFF44" s="22"/>
      <c r="EFG44" s="22"/>
      <c r="EFH44" s="22"/>
      <c r="EFI44" s="22"/>
      <c r="EFJ44" s="22"/>
      <c r="EFK44" s="22"/>
      <c r="EFL44" s="22"/>
      <c r="EFM44" s="22"/>
      <c r="EFN44" s="22"/>
      <c r="EFO44" s="22"/>
      <c r="EFP44" s="22"/>
      <c r="EFQ44" s="22"/>
      <c r="EFR44" s="22"/>
      <c r="EFS44" s="22"/>
      <c r="EFT44" s="22"/>
      <c r="EFU44" s="22"/>
      <c r="EFV44" s="22"/>
      <c r="EFW44" s="22"/>
      <c r="EFX44" s="22"/>
      <c r="EFY44" s="22"/>
      <c r="EFZ44" s="22"/>
      <c r="EGA44" s="22"/>
      <c r="EGB44" s="22"/>
      <c r="EGC44" s="22"/>
      <c r="EGD44" s="22"/>
      <c r="EGE44" s="22"/>
      <c r="EGF44" s="22"/>
      <c r="EGG44" s="22"/>
      <c r="EGH44" s="22"/>
      <c r="EGI44" s="22"/>
      <c r="EGJ44" s="22"/>
      <c r="EGK44" s="22"/>
      <c r="EGL44" s="22"/>
      <c r="EGM44" s="22"/>
      <c r="EGN44" s="22"/>
      <c r="EGO44" s="22"/>
      <c r="EGP44" s="22"/>
      <c r="EGQ44" s="22"/>
      <c r="EGR44" s="22"/>
      <c r="EGS44" s="22"/>
      <c r="EGT44" s="22"/>
      <c r="EGU44" s="22"/>
      <c r="EGV44" s="22"/>
      <c r="EGW44" s="22"/>
      <c r="EGX44" s="22"/>
      <c r="EGY44" s="22"/>
      <c r="EGZ44" s="22"/>
      <c r="EHA44" s="22"/>
      <c r="EHB44" s="22"/>
      <c r="EHC44" s="22"/>
      <c r="EHD44" s="22"/>
      <c r="EHE44" s="22"/>
      <c r="EHF44" s="22"/>
      <c r="EHG44" s="22"/>
      <c r="EHH44" s="22"/>
      <c r="EHI44" s="22"/>
      <c r="EHJ44" s="22"/>
      <c r="EHK44" s="22"/>
      <c r="EHL44" s="22"/>
      <c r="EHM44" s="22"/>
      <c r="EHN44" s="22"/>
      <c r="EHO44" s="22"/>
      <c r="EHP44" s="22"/>
      <c r="EHQ44" s="22"/>
      <c r="EHR44" s="22"/>
      <c r="EHS44" s="22"/>
      <c r="EHT44" s="22"/>
      <c r="EHU44" s="22"/>
      <c r="EHV44" s="22"/>
      <c r="EHW44" s="22"/>
      <c r="EHX44" s="22"/>
      <c r="EHY44" s="22"/>
      <c r="EHZ44" s="22"/>
      <c r="EIA44" s="22"/>
      <c r="EIB44" s="22"/>
      <c r="EIC44" s="22"/>
      <c r="EID44" s="22"/>
      <c r="EIE44" s="22"/>
      <c r="EIF44" s="22"/>
      <c r="EIG44" s="22"/>
      <c r="EIH44" s="22"/>
      <c r="EII44" s="22"/>
      <c r="EIJ44" s="22"/>
      <c r="EIK44" s="22"/>
      <c r="EIL44" s="22"/>
      <c r="EIM44" s="22"/>
      <c r="EIN44" s="22"/>
      <c r="EIO44" s="22"/>
      <c r="EIP44" s="22"/>
      <c r="EIQ44" s="22"/>
      <c r="EIR44" s="22"/>
      <c r="EIS44" s="22"/>
      <c r="EIT44" s="22"/>
      <c r="EIU44" s="22"/>
      <c r="EIV44" s="22"/>
      <c r="EIW44" s="22"/>
      <c r="EIX44" s="22"/>
      <c r="EIY44" s="22"/>
      <c r="EIZ44" s="22"/>
      <c r="EJA44" s="22"/>
      <c r="EJB44" s="22"/>
      <c r="EJC44" s="22"/>
      <c r="EJD44" s="22"/>
      <c r="EJE44" s="22"/>
      <c r="EJF44" s="22"/>
      <c r="EJG44" s="22"/>
      <c r="EJH44" s="22"/>
      <c r="EJI44" s="22"/>
      <c r="EJJ44" s="22"/>
      <c r="EJK44" s="22"/>
      <c r="EJL44" s="22"/>
      <c r="EJM44" s="22"/>
      <c r="EJN44" s="22"/>
      <c r="EJO44" s="22"/>
      <c r="EJP44" s="22"/>
      <c r="EJQ44" s="22"/>
      <c r="EJR44" s="22"/>
      <c r="EJS44" s="22"/>
      <c r="EJT44" s="22"/>
      <c r="EJU44" s="22"/>
      <c r="EJV44" s="22"/>
      <c r="EJW44" s="22"/>
      <c r="EJX44" s="22"/>
      <c r="EJY44" s="22"/>
      <c r="EJZ44" s="22"/>
      <c r="EKA44" s="22"/>
      <c r="EKB44" s="22"/>
      <c r="EKC44" s="22"/>
      <c r="EKD44" s="22"/>
      <c r="EKE44" s="22"/>
      <c r="EKF44" s="22"/>
      <c r="EKG44" s="22"/>
      <c r="EKH44" s="22"/>
      <c r="EKI44" s="22"/>
      <c r="EKJ44" s="22"/>
      <c r="EKK44" s="22"/>
      <c r="EKL44" s="22"/>
      <c r="EKM44" s="22"/>
      <c r="EKN44" s="22"/>
      <c r="EKO44" s="22"/>
      <c r="EKP44" s="22"/>
      <c r="EKQ44" s="22"/>
      <c r="EKR44" s="22"/>
      <c r="EKS44" s="22"/>
      <c r="EKT44" s="22"/>
      <c r="EKU44" s="22"/>
      <c r="EKV44" s="22"/>
      <c r="EKW44" s="22"/>
      <c r="EKX44" s="22"/>
      <c r="EKY44" s="22"/>
      <c r="EKZ44" s="22"/>
      <c r="ELA44" s="22"/>
      <c r="ELB44" s="22"/>
      <c r="ELC44" s="22"/>
      <c r="ELD44" s="22"/>
      <c r="ELE44" s="22"/>
      <c r="ELF44" s="22"/>
      <c r="ELG44" s="22"/>
      <c r="ELH44" s="22"/>
      <c r="ELI44" s="22"/>
      <c r="ELJ44" s="22"/>
      <c r="ELK44" s="22"/>
      <c r="ELL44" s="22"/>
      <c r="ELM44" s="22"/>
      <c r="ELN44" s="22"/>
      <c r="ELO44" s="22"/>
      <c r="ELP44" s="22"/>
      <c r="ELQ44" s="22"/>
      <c r="ELR44" s="22"/>
      <c r="ELS44" s="22"/>
      <c r="ELT44" s="22"/>
      <c r="ELU44" s="22"/>
      <c r="ELV44" s="22"/>
      <c r="ELW44" s="22"/>
      <c r="ELX44" s="22"/>
      <c r="ELY44" s="22"/>
      <c r="ELZ44" s="22"/>
      <c r="EMA44" s="22"/>
      <c r="EMB44" s="22"/>
      <c r="EMC44" s="22"/>
      <c r="EMD44" s="22"/>
      <c r="EME44" s="22"/>
      <c r="EMF44" s="22"/>
      <c r="EMG44" s="22"/>
      <c r="EMH44" s="22"/>
      <c r="EMI44" s="22"/>
      <c r="EMJ44" s="22"/>
      <c r="EMK44" s="22"/>
      <c r="EML44" s="22"/>
      <c r="EMM44" s="22"/>
      <c r="EMN44" s="22"/>
      <c r="EMO44" s="22"/>
      <c r="EMP44" s="22"/>
      <c r="EMQ44" s="22"/>
      <c r="EMR44" s="22"/>
      <c r="EMS44" s="22"/>
      <c r="EMT44" s="22"/>
      <c r="EMU44" s="22"/>
      <c r="EMV44" s="22"/>
      <c r="EMW44" s="22"/>
      <c r="EMX44" s="22"/>
      <c r="EMY44" s="22"/>
      <c r="EMZ44" s="22"/>
      <c r="ENA44" s="22"/>
      <c r="ENB44" s="22"/>
      <c r="ENC44" s="22"/>
      <c r="END44" s="22"/>
      <c r="ENE44" s="22"/>
      <c r="ENF44" s="22"/>
      <c r="ENG44" s="22"/>
      <c r="ENH44" s="22"/>
      <c r="ENI44" s="22"/>
      <c r="ENJ44" s="22"/>
      <c r="ENK44" s="22"/>
      <c r="ENL44" s="22"/>
      <c r="ENM44" s="22"/>
      <c r="ENN44" s="22"/>
      <c r="ENO44" s="22"/>
      <c r="ENP44" s="22"/>
      <c r="ENQ44" s="22"/>
      <c r="ENR44" s="22"/>
      <c r="ENS44" s="22"/>
      <c r="ENT44" s="22"/>
      <c r="ENU44" s="22"/>
      <c r="ENV44" s="22"/>
      <c r="ENW44" s="22"/>
      <c r="ENX44" s="22"/>
      <c r="ENY44" s="22"/>
      <c r="ENZ44" s="22"/>
      <c r="EOA44" s="22"/>
      <c r="EOB44" s="22"/>
      <c r="EOC44" s="22"/>
      <c r="EOD44" s="22"/>
      <c r="EOE44" s="22"/>
      <c r="EOF44" s="22"/>
      <c r="EOG44" s="22"/>
      <c r="EOH44" s="22"/>
      <c r="EOI44" s="22"/>
      <c r="EOJ44" s="22"/>
      <c r="EOK44" s="22"/>
      <c r="EOL44" s="22"/>
      <c r="EOM44" s="22"/>
      <c r="EON44" s="22"/>
      <c r="EOO44" s="22"/>
      <c r="EOP44" s="22"/>
      <c r="EOQ44" s="22"/>
      <c r="EOR44" s="22"/>
      <c r="EOS44" s="22"/>
      <c r="EOT44" s="22"/>
      <c r="EOU44" s="22"/>
      <c r="EOV44" s="22"/>
      <c r="EOW44" s="22"/>
      <c r="EOX44" s="22"/>
      <c r="EOY44" s="22"/>
      <c r="EOZ44" s="22"/>
      <c r="EPA44" s="22"/>
      <c r="EPB44" s="22"/>
      <c r="EPC44" s="22"/>
      <c r="EPD44" s="22"/>
      <c r="EPE44" s="22"/>
      <c r="EPF44" s="22"/>
      <c r="EPG44" s="22"/>
      <c r="EPH44" s="22"/>
      <c r="EPI44" s="22"/>
      <c r="EPJ44" s="22"/>
      <c r="EPK44" s="22"/>
      <c r="EPL44" s="22"/>
      <c r="EPM44" s="22"/>
      <c r="EPN44" s="22"/>
      <c r="EPO44" s="22"/>
      <c r="EPP44" s="22"/>
      <c r="EPQ44" s="22"/>
      <c r="EPR44" s="22"/>
      <c r="EPS44" s="22"/>
      <c r="EPT44" s="22"/>
      <c r="EPU44" s="22"/>
      <c r="EPV44" s="22"/>
      <c r="EPW44" s="22"/>
      <c r="EPX44" s="22"/>
      <c r="EPY44" s="22"/>
      <c r="EPZ44" s="22"/>
      <c r="EQA44" s="22"/>
      <c r="EQB44" s="22"/>
      <c r="EQC44" s="22"/>
      <c r="EQD44" s="22"/>
      <c r="EQE44" s="22"/>
      <c r="EQF44" s="22"/>
      <c r="EQG44" s="22"/>
      <c r="EQH44" s="22"/>
      <c r="EQI44" s="22"/>
      <c r="EQJ44" s="22"/>
      <c r="EQK44" s="22"/>
      <c r="EQL44" s="22"/>
      <c r="EQM44" s="22"/>
      <c r="EQN44" s="22"/>
      <c r="EQO44" s="22"/>
      <c r="EQP44" s="22"/>
      <c r="EQQ44" s="22"/>
      <c r="EQR44" s="22"/>
      <c r="EQS44" s="22"/>
      <c r="EQT44" s="22"/>
      <c r="EQU44" s="22"/>
      <c r="EQV44" s="22"/>
      <c r="EQW44" s="22"/>
      <c r="EQX44" s="22"/>
      <c r="EQY44" s="22"/>
      <c r="EQZ44" s="22"/>
      <c r="ERA44" s="22"/>
      <c r="ERB44" s="22"/>
      <c r="ERC44" s="22"/>
      <c r="ERD44" s="22"/>
      <c r="ERE44" s="22"/>
      <c r="ERF44" s="22"/>
      <c r="ERG44" s="22"/>
      <c r="ERH44" s="22"/>
      <c r="ERI44" s="22"/>
      <c r="ERJ44" s="22"/>
      <c r="ERK44" s="22"/>
      <c r="ERL44" s="22"/>
      <c r="ERM44" s="22"/>
      <c r="ERN44" s="22"/>
      <c r="ERO44" s="22"/>
      <c r="ERP44" s="22"/>
      <c r="ERQ44" s="22"/>
      <c r="ERR44" s="22"/>
      <c r="ERS44" s="22"/>
      <c r="ERT44" s="22"/>
      <c r="ERU44" s="22"/>
      <c r="ERV44" s="22"/>
      <c r="ERW44" s="22"/>
      <c r="ERX44" s="22"/>
      <c r="ERY44" s="22"/>
      <c r="ERZ44" s="22"/>
      <c r="ESA44" s="22"/>
      <c r="ESB44" s="22"/>
      <c r="ESC44" s="22"/>
      <c r="ESD44" s="22"/>
      <c r="ESE44" s="22"/>
      <c r="ESF44" s="22"/>
      <c r="ESG44" s="22"/>
      <c r="ESH44" s="22"/>
      <c r="ESI44" s="22"/>
      <c r="ESJ44" s="22"/>
      <c r="ESK44" s="22"/>
      <c r="ESL44" s="22"/>
      <c r="ESM44" s="22"/>
      <c r="ESN44" s="22"/>
      <c r="ESO44" s="22"/>
      <c r="ESP44" s="22"/>
      <c r="ESQ44" s="22"/>
      <c r="ESR44" s="22"/>
      <c r="ESS44" s="22"/>
      <c r="EST44" s="22"/>
      <c r="ESU44" s="22"/>
      <c r="ESV44" s="22"/>
      <c r="ESW44" s="22"/>
      <c r="ESX44" s="22"/>
      <c r="ESY44" s="22"/>
      <c r="ESZ44" s="22"/>
      <c r="ETA44" s="22"/>
      <c r="ETB44" s="22"/>
      <c r="ETC44" s="22"/>
      <c r="ETD44" s="22"/>
      <c r="ETE44" s="22"/>
      <c r="ETF44" s="22"/>
      <c r="ETG44" s="22"/>
      <c r="ETH44" s="22"/>
      <c r="ETI44" s="22"/>
      <c r="ETJ44" s="22"/>
      <c r="ETK44" s="22"/>
      <c r="ETL44" s="22"/>
      <c r="ETM44" s="22"/>
      <c r="ETN44" s="22"/>
      <c r="ETO44" s="22"/>
      <c r="ETP44" s="22"/>
      <c r="ETQ44" s="22"/>
      <c r="ETR44" s="22"/>
      <c r="ETS44" s="22"/>
      <c r="ETT44" s="22"/>
      <c r="ETU44" s="22"/>
      <c r="ETV44" s="22"/>
      <c r="ETW44" s="22"/>
      <c r="ETX44" s="22"/>
      <c r="ETY44" s="22"/>
      <c r="ETZ44" s="22"/>
      <c r="EUA44" s="22"/>
      <c r="EUB44" s="22"/>
      <c r="EUC44" s="22"/>
      <c r="EUD44" s="22"/>
      <c r="EUE44" s="22"/>
      <c r="EUF44" s="22"/>
      <c r="EUG44" s="22"/>
      <c r="EUH44" s="22"/>
      <c r="EUI44" s="22"/>
      <c r="EUJ44" s="22"/>
      <c r="EUK44" s="22"/>
      <c r="EUL44" s="22"/>
      <c r="EUM44" s="22"/>
      <c r="EUN44" s="22"/>
      <c r="EUO44" s="22"/>
      <c r="EUP44" s="22"/>
      <c r="EUQ44" s="22"/>
      <c r="EUR44" s="22"/>
      <c r="EUS44" s="22"/>
      <c r="EUT44" s="22"/>
      <c r="EUU44" s="22"/>
      <c r="EUV44" s="22"/>
      <c r="EUW44" s="22"/>
      <c r="EUX44" s="22"/>
      <c r="EUY44" s="22"/>
      <c r="EUZ44" s="22"/>
      <c r="EVA44" s="22"/>
      <c r="EVB44" s="22"/>
      <c r="EVC44" s="22"/>
      <c r="EVD44" s="22"/>
      <c r="EVE44" s="22"/>
      <c r="EVF44" s="22"/>
      <c r="EVG44" s="22"/>
      <c r="EVH44" s="22"/>
      <c r="EVI44" s="22"/>
      <c r="EVJ44" s="22"/>
      <c r="EVK44" s="22"/>
      <c r="EVL44" s="22"/>
      <c r="EVM44" s="22"/>
      <c r="EVN44" s="22"/>
      <c r="EVO44" s="22"/>
      <c r="EVP44" s="22"/>
      <c r="EVQ44" s="22"/>
      <c r="EVR44" s="22"/>
      <c r="EVS44" s="22"/>
      <c r="EVT44" s="22"/>
      <c r="EVU44" s="22"/>
      <c r="EVV44" s="22"/>
      <c r="EVW44" s="22"/>
      <c r="EVX44" s="22"/>
      <c r="EVY44" s="22"/>
      <c r="EVZ44" s="22"/>
      <c r="EWA44" s="22"/>
      <c r="EWB44" s="22"/>
      <c r="EWC44" s="22"/>
      <c r="EWD44" s="22"/>
      <c r="EWE44" s="22"/>
      <c r="EWF44" s="22"/>
      <c r="EWG44" s="22"/>
      <c r="EWH44" s="22"/>
      <c r="EWI44" s="22"/>
      <c r="EWJ44" s="22"/>
      <c r="EWK44" s="22"/>
      <c r="EWL44" s="22"/>
      <c r="EWM44" s="22"/>
      <c r="EWN44" s="22"/>
      <c r="EWO44" s="22"/>
      <c r="EWP44" s="22"/>
      <c r="EWQ44" s="22"/>
      <c r="EWR44" s="22"/>
      <c r="EWS44" s="22"/>
      <c r="EWT44" s="22"/>
      <c r="EWU44" s="22"/>
      <c r="EWV44" s="22"/>
      <c r="EWW44" s="22"/>
      <c r="EWX44" s="22"/>
      <c r="EWY44" s="22"/>
      <c r="EWZ44" s="22"/>
      <c r="EXA44" s="22"/>
      <c r="EXB44" s="22"/>
      <c r="EXC44" s="22"/>
      <c r="EXD44" s="22"/>
      <c r="EXE44" s="22"/>
      <c r="EXF44" s="22"/>
      <c r="EXG44" s="22"/>
      <c r="EXH44" s="22"/>
      <c r="EXI44" s="22"/>
      <c r="EXJ44" s="22"/>
      <c r="EXK44" s="22"/>
      <c r="EXL44" s="22"/>
      <c r="EXM44" s="22"/>
      <c r="EXN44" s="22"/>
      <c r="EXO44" s="22"/>
      <c r="EXP44" s="22"/>
      <c r="EXQ44" s="22"/>
      <c r="EXR44" s="22"/>
      <c r="EXS44" s="22"/>
      <c r="EXT44" s="22"/>
      <c r="EXU44" s="22"/>
      <c r="EXV44" s="22"/>
      <c r="EXW44" s="22"/>
      <c r="EXX44" s="22"/>
      <c r="EXY44" s="22"/>
      <c r="EXZ44" s="22"/>
      <c r="EYA44" s="22"/>
      <c r="EYB44" s="22"/>
      <c r="EYC44" s="22"/>
      <c r="EYD44" s="22"/>
      <c r="EYE44" s="22"/>
      <c r="EYF44" s="22"/>
      <c r="EYG44" s="22"/>
      <c r="EYH44" s="22"/>
      <c r="EYI44" s="22"/>
      <c r="EYJ44" s="22"/>
      <c r="EYK44" s="22"/>
      <c r="EYL44" s="22"/>
      <c r="EYM44" s="22"/>
      <c r="EYN44" s="22"/>
      <c r="EYO44" s="22"/>
      <c r="EYP44" s="22"/>
      <c r="EYQ44" s="22"/>
      <c r="EYR44" s="22"/>
      <c r="EYS44" s="22"/>
      <c r="EYT44" s="22"/>
      <c r="EYU44" s="22"/>
      <c r="EYV44" s="22"/>
      <c r="EYW44" s="22"/>
      <c r="EYX44" s="22"/>
      <c r="EYY44" s="22"/>
      <c r="EYZ44" s="22"/>
      <c r="EZA44" s="22"/>
      <c r="EZB44" s="22"/>
      <c r="EZC44" s="22"/>
      <c r="EZD44" s="22"/>
      <c r="EZE44" s="22"/>
      <c r="EZF44" s="22"/>
      <c r="EZG44" s="22"/>
      <c r="EZH44" s="22"/>
      <c r="EZI44" s="22"/>
      <c r="EZJ44" s="22"/>
      <c r="EZK44" s="22"/>
      <c r="EZL44" s="22"/>
      <c r="EZM44" s="22"/>
      <c r="EZN44" s="22"/>
      <c r="EZO44" s="22"/>
      <c r="EZP44" s="22"/>
      <c r="EZQ44" s="22"/>
      <c r="EZR44" s="22"/>
      <c r="EZS44" s="22"/>
      <c r="EZT44" s="22"/>
      <c r="EZU44" s="22"/>
      <c r="EZV44" s="22"/>
      <c r="EZW44" s="22"/>
      <c r="EZX44" s="22"/>
      <c r="EZY44" s="22"/>
      <c r="EZZ44" s="22"/>
      <c r="FAA44" s="22"/>
      <c r="FAB44" s="22"/>
      <c r="FAC44" s="22"/>
      <c r="FAD44" s="22"/>
      <c r="FAE44" s="22"/>
      <c r="FAF44" s="22"/>
      <c r="FAG44" s="22"/>
      <c r="FAH44" s="22"/>
      <c r="FAI44" s="22"/>
      <c r="FAJ44" s="22"/>
      <c r="FAK44" s="22"/>
      <c r="FAL44" s="22"/>
      <c r="FAM44" s="22"/>
      <c r="FAN44" s="22"/>
      <c r="FAO44" s="22"/>
      <c r="FAP44" s="22"/>
      <c r="FAQ44" s="22"/>
      <c r="FAR44" s="22"/>
      <c r="FAS44" s="22"/>
      <c r="FAT44" s="22"/>
      <c r="FAU44" s="22"/>
      <c r="FAV44" s="22"/>
      <c r="FAW44" s="22"/>
      <c r="FAX44" s="22"/>
      <c r="FAY44" s="22"/>
      <c r="FAZ44" s="22"/>
      <c r="FBA44" s="22"/>
      <c r="FBB44" s="22"/>
      <c r="FBC44" s="22"/>
      <c r="FBD44" s="22"/>
      <c r="FBE44" s="22"/>
      <c r="FBF44" s="22"/>
      <c r="FBG44" s="22"/>
      <c r="FBH44" s="22"/>
      <c r="FBI44" s="22"/>
      <c r="FBJ44" s="22"/>
      <c r="FBK44" s="22"/>
      <c r="FBL44" s="22"/>
      <c r="FBM44" s="22"/>
      <c r="FBN44" s="22"/>
      <c r="FBO44" s="22"/>
      <c r="FBP44" s="22"/>
      <c r="FBQ44" s="22"/>
      <c r="FBR44" s="22"/>
      <c r="FBS44" s="22"/>
      <c r="FBT44" s="22"/>
      <c r="FBU44" s="22"/>
      <c r="FBV44" s="22"/>
      <c r="FBW44" s="22"/>
      <c r="FBX44" s="22"/>
      <c r="FBY44" s="22"/>
      <c r="FBZ44" s="22"/>
      <c r="FCA44" s="22"/>
      <c r="FCB44" s="22"/>
      <c r="FCC44" s="22"/>
      <c r="FCD44" s="22"/>
      <c r="FCE44" s="22"/>
      <c r="FCF44" s="22"/>
      <c r="FCG44" s="22"/>
      <c r="FCH44" s="22"/>
      <c r="FCI44" s="22"/>
      <c r="FCJ44" s="22"/>
      <c r="FCK44" s="22"/>
      <c r="FCL44" s="22"/>
      <c r="FCM44" s="22"/>
      <c r="FCN44" s="22"/>
      <c r="FCO44" s="22"/>
      <c r="FCP44" s="22"/>
      <c r="FCQ44" s="22"/>
      <c r="FCR44" s="22"/>
      <c r="FCS44" s="22"/>
      <c r="FCT44" s="22"/>
      <c r="FCU44" s="22"/>
      <c r="FCV44" s="22"/>
      <c r="FCW44" s="22"/>
      <c r="FCX44" s="22"/>
      <c r="FCY44" s="22"/>
      <c r="FCZ44" s="22"/>
      <c r="FDA44" s="22"/>
      <c r="FDB44" s="22"/>
      <c r="FDC44" s="22"/>
      <c r="FDD44" s="22"/>
      <c r="FDE44" s="22"/>
      <c r="FDF44" s="22"/>
      <c r="FDG44" s="22"/>
      <c r="FDH44" s="22"/>
      <c r="FDI44" s="22"/>
      <c r="FDJ44" s="22"/>
      <c r="FDK44" s="22"/>
      <c r="FDL44" s="22"/>
      <c r="FDM44" s="22"/>
      <c r="FDN44" s="22"/>
      <c r="FDO44" s="22"/>
      <c r="FDP44" s="22"/>
      <c r="FDQ44" s="22"/>
      <c r="FDR44" s="22"/>
      <c r="FDS44" s="22"/>
      <c r="FDT44" s="22"/>
      <c r="FDU44" s="22"/>
      <c r="FDV44" s="22"/>
      <c r="FDW44" s="22"/>
      <c r="FDX44" s="22"/>
      <c r="FDY44" s="22"/>
      <c r="FDZ44" s="22"/>
      <c r="FEA44" s="22"/>
      <c r="FEB44" s="22"/>
      <c r="FEC44" s="22"/>
      <c r="FED44" s="22"/>
      <c r="FEE44" s="22"/>
      <c r="FEF44" s="22"/>
      <c r="FEG44" s="22"/>
      <c r="FEH44" s="22"/>
      <c r="FEI44" s="22"/>
      <c r="FEJ44" s="22"/>
      <c r="FEK44" s="22"/>
      <c r="FEL44" s="22"/>
      <c r="FEM44" s="22"/>
      <c r="FEN44" s="22"/>
      <c r="FEO44" s="22"/>
      <c r="FEP44" s="22"/>
      <c r="FEQ44" s="22"/>
      <c r="FER44" s="22"/>
      <c r="FES44" s="22"/>
      <c r="FET44" s="22"/>
      <c r="FEU44" s="22"/>
      <c r="FEV44" s="22"/>
      <c r="FEW44" s="22"/>
      <c r="FEX44" s="22"/>
      <c r="FEY44" s="22"/>
      <c r="FEZ44" s="22"/>
      <c r="FFA44" s="22"/>
      <c r="FFB44" s="22"/>
      <c r="FFC44" s="22"/>
      <c r="FFD44" s="22"/>
      <c r="FFE44" s="22"/>
      <c r="FFF44" s="22"/>
      <c r="FFG44" s="22"/>
      <c r="FFH44" s="22"/>
      <c r="FFI44" s="22"/>
      <c r="FFJ44" s="22"/>
      <c r="FFK44" s="22"/>
      <c r="FFL44" s="22"/>
      <c r="FFM44" s="22"/>
      <c r="FFN44" s="22"/>
      <c r="FFO44" s="22"/>
      <c r="FFP44" s="22"/>
      <c r="FFQ44" s="22"/>
      <c r="FFR44" s="22"/>
      <c r="FFS44" s="22"/>
      <c r="FFT44" s="22"/>
      <c r="FFU44" s="22"/>
      <c r="FFV44" s="22"/>
      <c r="FFW44" s="22"/>
      <c r="FFX44" s="22"/>
      <c r="FFY44" s="22"/>
      <c r="FFZ44" s="22"/>
      <c r="FGA44" s="22"/>
      <c r="FGB44" s="22"/>
      <c r="FGC44" s="22"/>
      <c r="FGD44" s="22"/>
      <c r="FGE44" s="22"/>
      <c r="FGF44" s="22"/>
      <c r="FGG44" s="22"/>
      <c r="FGH44" s="22"/>
      <c r="FGI44" s="22"/>
      <c r="FGJ44" s="22"/>
      <c r="FGK44" s="22"/>
      <c r="FGL44" s="22"/>
      <c r="FGM44" s="22"/>
      <c r="FGN44" s="22"/>
      <c r="FGO44" s="22"/>
      <c r="FGP44" s="22"/>
      <c r="FGQ44" s="22"/>
      <c r="FGR44" s="22"/>
      <c r="FGS44" s="22"/>
      <c r="FGT44" s="22"/>
      <c r="FGU44" s="22"/>
      <c r="FGV44" s="22"/>
      <c r="FGW44" s="22"/>
      <c r="FGX44" s="22"/>
      <c r="FGY44" s="22"/>
      <c r="FGZ44" s="22"/>
      <c r="FHA44" s="22"/>
      <c r="FHB44" s="22"/>
      <c r="FHC44" s="22"/>
      <c r="FHD44" s="22"/>
      <c r="FHE44" s="22"/>
      <c r="FHF44" s="22"/>
      <c r="FHG44" s="22"/>
      <c r="FHH44" s="22"/>
      <c r="FHI44" s="22"/>
      <c r="FHJ44" s="22"/>
      <c r="FHK44" s="22"/>
      <c r="FHL44" s="22"/>
      <c r="FHM44" s="22"/>
      <c r="FHN44" s="22"/>
      <c r="FHO44" s="22"/>
      <c r="FHP44" s="22"/>
      <c r="FHQ44" s="22"/>
      <c r="FHR44" s="22"/>
      <c r="FHS44" s="22"/>
      <c r="FHT44" s="22"/>
      <c r="FHU44" s="22"/>
      <c r="FHV44" s="22"/>
      <c r="FHW44" s="22"/>
      <c r="FHX44" s="22"/>
      <c r="FHY44" s="22"/>
      <c r="FHZ44" s="22"/>
      <c r="FIA44" s="22"/>
      <c r="FIB44" s="22"/>
      <c r="FIC44" s="22"/>
      <c r="FID44" s="22"/>
      <c r="FIE44" s="22"/>
      <c r="FIF44" s="22"/>
      <c r="FIG44" s="22"/>
      <c r="FIH44" s="22"/>
      <c r="FII44" s="22"/>
      <c r="FIJ44" s="22"/>
      <c r="FIK44" s="22"/>
      <c r="FIL44" s="22"/>
      <c r="FIM44" s="22"/>
      <c r="FIN44" s="22"/>
      <c r="FIO44" s="22"/>
      <c r="FIP44" s="22"/>
      <c r="FIQ44" s="22"/>
      <c r="FIR44" s="22"/>
      <c r="FIS44" s="22"/>
      <c r="FIT44" s="22"/>
      <c r="FIU44" s="22"/>
      <c r="FIV44" s="22"/>
      <c r="FIW44" s="22"/>
      <c r="FIX44" s="22"/>
      <c r="FIY44" s="22"/>
      <c r="FIZ44" s="22"/>
      <c r="FJA44" s="22"/>
      <c r="FJB44" s="22"/>
      <c r="FJC44" s="22"/>
      <c r="FJD44" s="22"/>
      <c r="FJE44" s="22"/>
      <c r="FJF44" s="22"/>
      <c r="FJG44" s="22"/>
      <c r="FJH44" s="22"/>
      <c r="FJI44" s="22"/>
      <c r="FJJ44" s="22"/>
      <c r="FJK44" s="22"/>
      <c r="FJL44" s="22"/>
      <c r="FJM44" s="22"/>
      <c r="FJN44" s="22"/>
      <c r="FJO44" s="22"/>
      <c r="FJP44" s="22"/>
      <c r="FJQ44" s="22"/>
      <c r="FJR44" s="22"/>
      <c r="FJS44" s="22"/>
      <c r="FJT44" s="22"/>
      <c r="FJU44" s="22"/>
      <c r="FJV44" s="22"/>
      <c r="FJW44" s="22"/>
      <c r="FJX44" s="22"/>
      <c r="FJY44" s="22"/>
      <c r="FJZ44" s="22"/>
      <c r="FKA44" s="22"/>
      <c r="FKB44" s="22"/>
      <c r="FKC44" s="22"/>
      <c r="FKD44" s="22"/>
      <c r="FKE44" s="22"/>
      <c r="FKF44" s="22"/>
      <c r="FKG44" s="22"/>
      <c r="FKH44" s="22"/>
      <c r="FKI44" s="22"/>
      <c r="FKJ44" s="22"/>
      <c r="FKK44" s="22"/>
      <c r="FKL44" s="22"/>
      <c r="FKM44" s="22"/>
      <c r="FKN44" s="22"/>
      <c r="FKO44" s="22"/>
      <c r="FKP44" s="22"/>
      <c r="FKQ44" s="22"/>
      <c r="FKR44" s="22"/>
      <c r="FKS44" s="22"/>
      <c r="FKT44" s="22"/>
      <c r="FKU44" s="22"/>
      <c r="FKV44" s="22"/>
      <c r="FKW44" s="22"/>
      <c r="FKX44" s="22"/>
      <c r="FKY44" s="22"/>
      <c r="FKZ44" s="22"/>
      <c r="FLA44" s="22"/>
      <c r="FLB44" s="22"/>
      <c r="FLC44" s="22"/>
      <c r="FLD44" s="22"/>
      <c r="FLE44" s="22"/>
      <c r="FLF44" s="22"/>
      <c r="FLG44" s="22"/>
      <c r="FLH44" s="22"/>
      <c r="FLI44" s="22"/>
      <c r="FLJ44" s="22"/>
      <c r="FLK44" s="22"/>
      <c r="FLL44" s="22"/>
      <c r="FLM44" s="22"/>
      <c r="FLN44" s="22"/>
      <c r="FLO44" s="22"/>
      <c r="FLP44" s="22"/>
      <c r="FLQ44" s="22"/>
      <c r="FLR44" s="22"/>
      <c r="FLS44" s="22"/>
      <c r="FLT44" s="22"/>
      <c r="FLU44" s="22"/>
      <c r="FLV44" s="22"/>
      <c r="FLW44" s="22"/>
      <c r="FLX44" s="22"/>
      <c r="FLY44" s="22"/>
      <c r="FLZ44" s="22"/>
      <c r="FMA44" s="22"/>
      <c r="FMB44" s="22"/>
      <c r="FMC44" s="22"/>
      <c r="FMD44" s="22"/>
      <c r="FME44" s="22"/>
      <c r="FMF44" s="22"/>
      <c r="FMG44" s="22"/>
      <c r="FMH44" s="22"/>
      <c r="FMI44" s="22"/>
      <c r="FMJ44" s="22"/>
      <c r="FMK44" s="22"/>
      <c r="FML44" s="22"/>
      <c r="FMM44" s="22"/>
      <c r="FMN44" s="22"/>
      <c r="FMO44" s="22"/>
      <c r="FMP44" s="22"/>
      <c r="FMQ44" s="22"/>
      <c r="FMR44" s="22"/>
      <c r="FMS44" s="22"/>
      <c r="FMT44" s="22"/>
      <c r="FMU44" s="22"/>
      <c r="FMV44" s="22"/>
      <c r="FMW44" s="22"/>
      <c r="FMX44" s="22"/>
      <c r="FMY44" s="22"/>
      <c r="FMZ44" s="22"/>
      <c r="FNA44" s="22"/>
      <c r="FNB44" s="22"/>
      <c r="FNC44" s="22"/>
      <c r="FND44" s="22"/>
      <c r="FNE44" s="22"/>
      <c r="FNF44" s="22"/>
      <c r="FNG44" s="22"/>
      <c r="FNH44" s="22"/>
      <c r="FNI44" s="22"/>
      <c r="FNJ44" s="22"/>
      <c r="FNK44" s="22"/>
      <c r="FNL44" s="22"/>
      <c r="FNM44" s="22"/>
      <c r="FNN44" s="22"/>
      <c r="FNO44" s="22"/>
      <c r="FNP44" s="22"/>
      <c r="FNQ44" s="22"/>
      <c r="FNR44" s="22"/>
      <c r="FNS44" s="22"/>
      <c r="FNT44" s="22"/>
      <c r="FNU44" s="22"/>
      <c r="FNV44" s="22"/>
      <c r="FNW44" s="22"/>
      <c r="FNX44" s="22"/>
      <c r="FNY44" s="22"/>
      <c r="FNZ44" s="22"/>
      <c r="FOA44" s="22"/>
      <c r="FOB44" s="22"/>
      <c r="FOC44" s="22"/>
      <c r="FOD44" s="22"/>
      <c r="FOE44" s="22"/>
      <c r="FOF44" s="22"/>
      <c r="FOG44" s="22"/>
      <c r="FOH44" s="22"/>
      <c r="FOI44" s="22"/>
      <c r="FOJ44" s="22"/>
      <c r="FOK44" s="22"/>
      <c r="FOL44" s="22"/>
      <c r="FOM44" s="22"/>
      <c r="FON44" s="22"/>
      <c r="FOO44" s="22"/>
      <c r="FOP44" s="22"/>
      <c r="FOQ44" s="22"/>
      <c r="FOR44" s="22"/>
      <c r="FOS44" s="22"/>
      <c r="FOT44" s="22"/>
      <c r="FOU44" s="22"/>
      <c r="FOV44" s="22"/>
      <c r="FOW44" s="22"/>
      <c r="FOX44" s="22"/>
      <c r="FOY44" s="22"/>
      <c r="FOZ44" s="22"/>
      <c r="FPA44" s="22"/>
      <c r="FPB44" s="22"/>
      <c r="FPC44" s="22"/>
      <c r="FPD44" s="22"/>
      <c r="FPE44" s="22"/>
      <c r="FPF44" s="22"/>
      <c r="FPG44" s="22"/>
      <c r="FPH44" s="22"/>
      <c r="FPI44" s="22"/>
      <c r="FPJ44" s="22"/>
      <c r="FPK44" s="22"/>
      <c r="FPL44" s="22"/>
      <c r="FPM44" s="22"/>
      <c r="FPN44" s="22"/>
      <c r="FPO44" s="22"/>
      <c r="FPP44" s="22"/>
      <c r="FPQ44" s="22"/>
      <c r="FPR44" s="22"/>
      <c r="FPS44" s="22"/>
      <c r="FPT44" s="22"/>
      <c r="FPU44" s="22"/>
      <c r="FPV44" s="22"/>
      <c r="FPW44" s="22"/>
      <c r="FPX44" s="22"/>
      <c r="FPY44" s="22"/>
      <c r="FPZ44" s="22"/>
      <c r="FQA44" s="22"/>
      <c r="FQB44" s="22"/>
      <c r="FQC44" s="22"/>
      <c r="FQD44" s="22"/>
      <c r="FQE44" s="22"/>
      <c r="FQF44" s="22"/>
      <c r="FQG44" s="22"/>
      <c r="FQH44" s="22"/>
      <c r="FQI44" s="22"/>
      <c r="FQJ44" s="22"/>
      <c r="FQK44" s="22"/>
      <c r="FQL44" s="22"/>
      <c r="FQM44" s="22"/>
      <c r="FQN44" s="22"/>
      <c r="FQO44" s="22"/>
      <c r="FQP44" s="22"/>
      <c r="FQQ44" s="22"/>
      <c r="FQR44" s="22"/>
      <c r="FQS44" s="22"/>
      <c r="FQT44" s="22"/>
      <c r="FQU44" s="22"/>
      <c r="FQV44" s="22"/>
      <c r="FQW44" s="22"/>
      <c r="FQX44" s="22"/>
      <c r="FQY44" s="22"/>
      <c r="FQZ44" s="22"/>
      <c r="FRA44" s="22"/>
      <c r="FRB44" s="22"/>
      <c r="FRC44" s="22"/>
      <c r="FRD44" s="22"/>
      <c r="FRE44" s="22"/>
      <c r="FRF44" s="22"/>
      <c r="FRG44" s="22"/>
      <c r="FRH44" s="22"/>
      <c r="FRI44" s="22"/>
      <c r="FRJ44" s="22"/>
      <c r="FRK44" s="22"/>
      <c r="FRL44" s="22"/>
      <c r="FRM44" s="22"/>
      <c r="FRN44" s="22"/>
      <c r="FRO44" s="22"/>
      <c r="FRP44" s="22"/>
      <c r="FRQ44" s="22"/>
      <c r="FRR44" s="22"/>
      <c r="FRS44" s="22"/>
      <c r="FRT44" s="22"/>
      <c r="FRU44" s="22"/>
      <c r="FRV44" s="22"/>
      <c r="FRW44" s="22"/>
      <c r="FRX44" s="22"/>
      <c r="FRY44" s="22"/>
      <c r="FRZ44" s="22"/>
      <c r="FSA44" s="22"/>
      <c r="FSB44" s="22"/>
      <c r="FSC44" s="22"/>
      <c r="FSD44" s="22"/>
      <c r="FSE44" s="22"/>
      <c r="FSF44" s="22"/>
      <c r="FSG44" s="22"/>
      <c r="FSH44" s="22"/>
      <c r="FSI44" s="22"/>
      <c r="FSJ44" s="22"/>
      <c r="FSK44" s="22"/>
      <c r="FSL44" s="22"/>
      <c r="FSM44" s="22"/>
      <c r="FSN44" s="22"/>
      <c r="FSO44" s="22"/>
      <c r="FSP44" s="22"/>
      <c r="FSQ44" s="22"/>
      <c r="FSR44" s="22"/>
      <c r="FSS44" s="22"/>
      <c r="FST44" s="22"/>
      <c r="FSU44" s="22"/>
      <c r="FSV44" s="22"/>
      <c r="FSW44" s="22"/>
      <c r="FSX44" s="22"/>
      <c r="FSY44" s="22"/>
      <c r="FSZ44" s="22"/>
      <c r="FTA44" s="22"/>
      <c r="FTB44" s="22"/>
      <c r="FTC44" s="22"/>
      <c r="FTD44" s="22"/>
      <c r="FTE44" s="22"/>
      <c r="FTF44" s="22"/>
      <c r="FTG44" s="22"/>
      <c r="FTH44" s="22"/>
      <c r="FTI44" s="22"/>
      <c r="FTJ44" s="22"/>
      <c r="FTK44" s="22"/>
      <c r="FTL44" s="22"/>
      <c r="FTM44" s="22"/>
      <c r="FTN44" s="22"/>
      <c r="FTO44" s="22"/>
      <c r="FTP44" s="22"/>
      <c r="FTQ44" s="22"/>
      <c r="FTR44" s="22"/>
      <c r="FTS44" s="22"/>
      <c r="FTT44" s="22"/>
      <c r="FTU44" s="22"/>
      <c r="FTV44" s="22"/>
      <c r="FTW44" s="22"/>
      <c r="FTX44" s="22"/>
      <c r="FTY44" s="22"/>
      <c r="FTZ44" s="22"/>
      <c r="FUA44" s="22"/>
      <c r="FUB44" s="22"/>
      <c r="FUC44" s="22"/>
      <c r="FUD44" s="22"/>
      <c r="FUE44" s="22"/>
      <c r="FUF44" s="22"/>
      <c r="FUG44" s="22"/>
      <c r="FUH44" s="22"/>
      <c r="FUI44" s="22"/>
      <c r="FUJ44" s="22"/>
      <c r="FUK44" s="22"/>
      <c r="FUL44" s="22"/>
      <c r="FUM44" s="22"/>
      <c r="FUN44" s="22"/>
      <c r="FUO44" s="22"/>
      <c r="FUP44" s="22"/>
      <c r="FUQ44" s="22"/>
      <c r="FUR44" s="22"/>
      <c r="FUS44" s="22"/>
      <c r="FUT44" s="22"/>
      <c r="FUU44" s="22"/>
      <c r="FUV44" s="22"/>
      <c r="FUW44" s="22"/>
      <c r="FUX44" s="22"/>
      <c r="FUY44" s="22"/>
      <c r="FUZ44" s="22"/>
      <c r="FVA44" s="22"/>
      <c r="FVB44" s="22"/>
      <c r="FVC44" s="22"/>
      <c r="FVD44" s="22"/>
      <c r="FVE44" s="22"/>
      <c r="FVF44" s="22"/>
      <c r="FVG44" s="22"/>
      <c r="FVH44" s="22"/>
      <c r="FVI44" s="22"/>
      <c r="FVJ44" s="22"/>
      <c r="FVK44" s="22"/>
      <c r="FVL44" s="22"/>
      <c r="FVM44" s="22"/>
      <c r="FVN44" s="22"/>
      <c r="FVO44" s="22"/>
      <c r="FVP44" s="22"/>
      <c r="FVQ44" s="22"/>
      <c r="FVR44" s="22"/>
      <c r="FVS44" s="22"/>
      <c r="FVT44" s="22"/>
      <c r="FVU44" s="22"/>
      <c r="FVV44" s="22"/>
      <c r="FVW44" s="22"/>
      <c r="FVX44" s="22"/>
      <c r="FVY44" s="22"/>
      <c r="FVZ44" s="22"/>
      <c r="FWA44" s="22"/>
      <c r="FWB44" s="22"/>
      <c r="FWC44" s="22"/>
      <c r="FWD44" s="22"/>
      <c r="FWE44" s="22"/>
      <c r="FWF44" s="22"/>
      <c r="FWG44" s="22"/>
      <c r="FWH44" s="22"/>
      <c r="FWI44" s="22"/>
      <c r="FWJ44" s="22"/>
      <c r="FWK44" s="22"/>
      <c r="FWL44" s="22"/>
      <c r="FWM44" s="22"/>
      <c r="FWN44" s="22"/>
      <c r="FWO44" s="22"/>
      <c r="FWP44" s="22"/>
      <c r="FWQ44" s="22"/>
      <c r="FWR44" s="22"/>
      <c r="FWS44" s="22"/>
      <c r="FWT44" s="22"/>
      <c r="FWU44" s="22"/>
      <c r="FWV44" s="22"/>
      <c r="FWW44" s="22"/>
      <c r="FWX44" s="22"/>
      <c r="FWY44" s="22"/>
      <c r="FWZ44" s="22"/>
      <c r="FXA44" s="22"/>
      <c r="FXB44" s="22"/>
      <c r="FXC44" s="22"/>
      <c r="FXD44" s="22"/>
      <c r="FXE44" s="22"/>
      <c r="FXF44" s="22"/>
      <c r="FXG44" s="22"/>
      <c r="FXH44" s="22"/>
      <c r="FXI44" s="22"/>
      <c r="FXJ44" s="22"/>
      <c r="FXK44" s="22"/>
      <c r="FXL44" s="22"/>
      <c r="FXM44" s="22"/>
      <c r="FXN44" s="22"/>
      <c r="FXO44" s="22"/>
      <c r="FXP44" s="22"/>
      <c r="FXQ44" s="22"/>
      <c r="FXR44" s="22"/>
      <c r="FXS44" s="22"/>
      <c r="FXT44" s="22"/>
      <c r="FXU44" s="22"/>
      <c r="FXV44" s="22"/>
      <c r="FXW44" s="22"/>
      <c r="FXX44" s="22"/>
      <c r="FXY44" s="22"/>
      <c r="FXZ44" s="22"/>
      <c r="FYA44" s="22"/>
      <c r="FYB44" s="22"/>
      <c r="FYC44" s="22"/>
      <c r="FYD44" s="22"/>
      <c r="FYE44" s="22"/>
      <c r="FYF44" s="22"/>
      <c r="FYG44" s="22"/>
      <c r="FYH44" s="22"/>
      <c r="FYI44" s="22"/>
      <c r="FYJ44" s="22"/>
      <c r="FYK44" s="22"/>
      <c r="FYL44" s="22"/>
      <c r="FYM44" s="22"/>
      <c r="FYN44" s="22"/>
      <c r="FYO44" s="22"/>
      <c r="FYP44" s="22"/>
      <c r="FYQ44" s="22"/>
      <c r="FYR44" s="22"/>
      <c r="FYS44" s="22"/>
      <c r="FYT44" s="22"/>
      <c r="FYU44" s="22"/>
      <c r="FYV44" s="22"/>
      <c r="FYW44" s="22"/>
      <c r="FYX44" s="22"/>
      <c r="FYY44" s="22"/>
      <c r="FYZ44" s="22"/>
      <c r="FZA44" s="22"/>
      <c r="FZB44" s="22"/>
      <c r="FZC44" s="22"/>
      <c r="FZD44" s="22"/>
      <c r="FZE44" s="22"/>
      <c r="FZF44" s="22"/>
      <c r="FZG44" s="22"/>
      <c r="FZH44" s="22"/>
      <c r="FZI44" s="22"/>
      <c r="FZJ44" s="22"/>
      <c r="FZK44" s="22"/>
      <c r="FZL44" s="22"/>
      <c r="FZM44" s="22"/>
      <c r="FZN44" s="22"/>
      <c r="FZO44" s="22"/>
      <c r="FZP44" s="22"/>
      <c r="FZQ44" s="22"/>
      <c r="FZR44" s="22"/>
      <c r="FZS44" s="22"/>
      <c r="FZT44" s="22"/>
      <c r="FZU44" s="22"/>
      <c r="FZV44" s="22"/>
      <c r="FZW44" s="22"/>
      <c r="FZX44" s="22"/>
      <c r="FZY44" s="22"/>
      <c r="FZZ44" s="22"/>
      <c r="GAA44" s="22"/>
      <c r="GAB44" s="22"/>
      <c r="GAC44" s="22"/>
      <c r="GAD44" s="22"/>
      <c r="GAE44" s="22"/>
      <c r="GAF44" s="22"/>
      <c r="GAG44" s="22"/>
      <c r="GAH44" s="22"/>
      <c r="GAI44" s="22"/>
      <c r="GAJ44" s="22"/>
      <c r="GAK44" s="22"/>
      <c r="GAL44" s="22"/>
      <c r="GAM44" s="22"/>
      <c r="GAN44" s="22"/>
      <c r="GAO44" s="22"/>
      <c r="GAP44" s="22"/>
      <c r="GAQ44" s="22"/>
      <c r="GAR44" s="22"/>
      <c r="GAS44" s="22"/>
      <c r="GAT44" s="22"/>
      <c r="GAU44" s="22"/>
      <c r="GAV44" s="22"/>
      <c r="GAW44" s="22"/>
      <c r="GAX44" s="22"/>
      <c r="GAY44" s="22"/>
      <c r="GAZ44" s="22"/>
      <c r="GBA44" s="22"/>
      <c r="GBB44" s="22"/>
      <c r="GBC44" s="22"/>
      <c r="GBD44" s="22"/>
      <c r="GBE44" s="22"/>
      <c r="GBF44" s="22"/>
      <c r="GBG44" s="22"/>
      <c r="GBH44" s="22"/>
      <c r="GBI44" s="22"/>
      <c r="GBJ44" s="22"/>
      <c r="GBK44" s="22"/>
      <c r="GBL44" s="22"/>
      <c r="GBM44" s="22"/>
      <c r="GBN44" s="22"/>
      <c r="GBO44" s="22"/>
      <c r="GBP44" s="22"/>
      <c r="GBQ44" s="22"/>
      <c r="GBR44" s="22"/>
      <c r="GBS44" s="22"/>
      <c r="GBT44" s="22"/>
      <c r="GBU44" s="22"/>
      <c r="GBV44" s="22"/>
      <c r="GBW44" s="22"/>
      <c r="GBX44" s="22"/>
      <c r="GBY44" s="22"/>
      <c r="GBZ44" s="22"/>
      <c r="GCA44" s="22"/>
      <c r="GCB44" s="22"/>
      <c r="GCC44" s="22"/>
      <c r="GCD44" s="22"/>
      <c r="GCE44" s="22"/>
      <c r="GCF44" s="22"/>
      <c r="GCG44" s="22"/>
      <c r="GCH44" s="22"/>
      <c r="GCI44" s="22"/>
      <c r="GCJ44" s="22"/>
      <c r="GCK44" s="22"/>
      <c r="GCL44" s="22"/>
      <c r="GCM44" s="22"/>
      <c r="GCN44" s="22"/>
      <c r="GCO44" s="22"/>
      <c r="GCP44" s="22"/>
      <c r="GCQ44" s="22"/>
      <c r="GCR44" s="22"/>
      <c r="GCS44" s="22"/>
      <c r="GCT44" s="22"/>
      <c r="GCU44" s="22"/>
      <c r="GCV44" s="22"/>
      <c r="GCW44" s="22"/>
      <c r="GCX44" s="22"/>
      <c r="GCY44" s="22"/>
      <c r="GCZ44" s="22"/>
      <c r="GDA44" s="22"/>
      <c r="GDB44" s="22"/>
      <c r="GDC44" s="22"/>
      <c r="GDD44" s="22"/>
      <c r="GDE44" s="22"/>
      <c r="GDF44" s="22"/>
      <c r="GDG44" s="22"/>
      <c r="GDH44" s="22"/>
      <c r="GDI44" s="22"/>
      <c r="GDJ44" s="22"/>
      <c r="GDK44" s="22"/>
      <c r="GDL44" s="22"/>
      <c r="GDM44" s="22"/>
      <c r="GDN44" s="22"/>
      <c r="GDO44" s="22"/>
      <c r="GDP44" s="22"/>
      <c r="GDQ44" s="22"/>
      <c r="GDR44" s="22"/>
      <c r="GDS44" s="22"/>
      <c r="GDT44" s="22"/>
      <c r="GDU44" s="22"/>
      <c r="GDV44" s="22"/>
      <c r="GDW44" s="22"/>
      <c r="GDX44" s="22"/>
      <c r="GDY44" s="22"/>
      <c r="GDZ44" s="22"/>
      <c r="GEA44" s="22"/>
      <c r="GEB44" s="22"/>
      <c r="GEC44" s="22"/>
      <c r="GED44" s="22"/>
      <c r="GEE44" s="22"/>
      <c r="GEF44" s="22"/>
      <c r="GEG44" s="22"/>
      <c r="GEH44" s="22"/>
      <c r="GEI44" s="22"/>
      <c r="GEJ44" s="22"/>
      <c r="GEK44" s="22"/>
      <c r="GEL44" s="22"/>
      <c r="GEM44" s="22"/>
      <c r="GEN44" s="22"/>
      <c r="GEO44" s="22"/>
      <c r="GEP44" s="22"/>
      <c r="GEQ44" s="22"/>
      <c r="GER44" s="22"/>
      <c r="GES44" s="22"/>
      <c r="GET44" s="22"/>
      <c r="GEU44" s="22"/>
      <c r="GEV44" s="22"/>
      <c r="GEW44" s="22"/>
      <c r="GEX44" s="22"/>
      <c r="GEY44" s="22"/>
      <c r="GEZ44" s="22"/>
      <c r="GFA44" s="22"/>
      <c r="GFB44" s="22"/>
      <c r="GFC44" s="22"/>
      <c r="GFD44" s="22"/>
      <c r="GFE44" s="22"/>
      <c r="GFF44" s="22"/>
      <c r="GFG44" s="22"/>
      <c r="GFH44" s="22"/>
      <c r="GFI44" s="22"/>
      <c r="GFJ44" s="22"/>
      <c r="GFK44" s="22"/>
      <c r="GFL44" s="22"/>
      <c r="GFM44" s="22"/>
      <c r="GFN44" s="22"/>
      <c r="GFO44" s="22"/>
      <c r="GFP44" s="22"/>
      <c r="GFQ44" s="22"/>
      <c r="GFR44" s="22"/>
      <c r="GFS44" s="22"/>
      <c r="GFT44" s="22"/>
      <c r="GFU44" s="22"/>
      <c r="GFV44" s="22"/>
      <c r="GFW44" s="22"/>
      <c r="GFX44" s="22"/>
      <c r="GFY44" s="22"/>
      <c r="GFZ44" s="22"/>
      <c r="GGA44" s="22"/>
      <c r="GGB44" s="22"/>
      <c r="GGC44" s="22"/>
      <c r="GGD44" s="22"/>
      <c r="GGE44" s="22"/>
      <c r="GGF44" s="22"/>
      <c r="GGG44" s="22"/>
      <c r="GGH44" s="22"/>
      <c r="GGI44" s="22"/>
      <c r="GGJ44" s="22"/>
      <c r="GGK44" s="22"/>
      <c r="GGL44" s="22"/>
      <c r="GGM44" s="22"/>
      <c r="GGN44" s="22"/>
      <c r="GGO44" s="22"/>
      <c r="GGP44" s="22"/>
      <c r="GGQ44" s="22"/>
      <c r="GGR44" s="22"/>
      <c r="GGS44" s="22"/>
      <c r="GGT44" s="22"/>
      <c r="GGU44" s="22"/>
      <c r="GGV44" s="22"/>
      <c r="GGW44" s="22"/>
      <c r="GGX44" s="22"/>
      <c r="GGY44" s="22"/>
      <c r="GGZ44" s="22"/>
      <c r="GHA44" s="22"/>
      <c r="GHB44" s="22"/>
      <c r="GHC44" s="22"/>
      <c r="GHD44" s="22"/>
      <c r="GHE44" s="22"/>
      <c r="GHF44" s="22"/>
      <c r="GHG44" s="22"/>
      <c r="GHH44" s="22"/>
      <c r="GHI44" s="22"/>
      <c r="GHJ44" s="22"/>
      <c r="GHK44" s="22"/>
      <c r="GHL44" s="22"/>
      <c r="GHM44" s="22"/>
      <c r="GHN44" s="22"/>
      <c r="GHO44" s="22"/>
      <c r="GHP44" s="22"/>
      <c r="GHQ44" s="22"/>
      <c r="GHR44" s="22"/>
      <c r="GHS44" s="22"/>
      <c r="GHT44" s="22"/>
      <c r="GHU44" s="22"/>
      <c r="GHV44" s="22"/>
      <c r="GHW44" s="22"/>
      <c r="GHX44" s="22"/>
      <c r="GHY44" s="22"/>
      <c r="GHZ44" s="22"/>
      <c r="GIA44" s="22"/>
      <c r="GIB44" s="22"/>
      <c r="GIC44" s="22"/>
      <c r="GID44" s="22"/>
      <c r="GIE44" s="22"/>
      <c r="GIF44" s="22"/>
      <c r="GIG44" s="22"/>
      <c r="GIH44" s="22"/>
      <c r="GII44" s="22"/>
      <c r="GIJ44" s="22"/>
      <c r="GIK44" s="22"/>
      <c r="GIL44" s="22"/>
      <c r="GIM44" s="22"/>
      <c r="GIN44" s="22"/>
      <c r="GIO44" s="22"/>
      <c r="GIP44" s="22"/>
      <c r="GIQ44" s="22"/>
      <c r="GIR44" s="22"/>
      <c r="GIS44" s="22"/>
      <c r="GIT44" s="22"/>
      <c r="GIU44" s="22"/>
      <c r="GIV44" s="22"/>
      <c r="GIW44" s="22"/>
      <c r="GIX44" s="22"/>
      <c r="GIY44" s="22"/>
      <c r="GIZ44" s="22"/>
      <c r="GJA44" s="22"/>
      <c r="GJB44" s="22"/>
      <c r="GJC44" s="22"/>
      <c r="GJD44" s="22"/>
      <c r="GJE44" s="22"/>
      <c r="GJF44" s="22"/>
      <c r="GJG44" s="22"/>
      <c r="GJH44" s="22"/>
      <c r="GJI44" s="22"/>
      <c r="GJJ44" s="22"/>
      <c r="GJK44" s="22"/>
      <c r="GJL44" s="22"/>
      <c r="GJM44" s="22"/>
      <c r="GJN44" s="22"/>
      <c r="GJO44" s="22"/>
      <c r="GJP44" s="22"/>
      <c r="GJQ44" s="22"/>
      <c r="GJR44" s="22"/>
      <c r="GJS44" s="22"/>
      <c r="GJT44" s="22"/>
      <c r="GJU44" s="22"/>
      <c r="GJV44" s="22"/>
      <c r="GJW44" s="22"/>
      <c r="GJX44" s="22"/>
      <c r="GJY44" s="22"/>
      <c r="GJZ44" s="22"/>
      <c r="GKA44" s="22"/>
      <c r="GKB44" s="22"/>
      <c r="GKC44" s="22"/>
      <c r="GKD44" s="22"/>
      <c r="GKE44" s="22"/>
      <c r="GKF44" s="22"/>
      <c r="GKG44" s="22"/>
      <c r="GKH44" s="22"/>
      <c r="GKI44" s="22"/>
      <c r="GKJ44" s="22"/>
      <c r="GKK44" s="22"/>
      <c r="GKL44" s="22"/>
      <c r="GKM44" s="22"/>
      <c r="GKN44" s="22"/>
      <c r="GKO44" s="22"/>
      <c r="GKP44" s="22"/>
      <c r="GKQ44" s="22"/>
      <c r="GKR44" s="22"/>
      <c r="GKS44" s="22"/>
      <c r="GKT44" s="22"/>
      <c r="GKU44" s="22"/>
      <c r="GKV44" s="22"/>
      <c r="GKW44" s="22"/>
      <c r="GKX44" s="22"/>
      <c r="GKY44" s="22"/>
      <c r="GKZ44" s="22"/>
      <c r="GLA44" s="22"/>
      <c r="GLB44" s="22"/>
      <c r="GLC44" s="22"/>
      <c r="GLD44" s="22"/>
      <c r="GLE44" s="22"/>
      <c r="GLF44" s="22"/>
      <c r="GLG44" s="22"/>
      <c r="GLH44" s="22"/>
      <c r="GLI44" s="22"/>
      <c r="GLJ44" s="22"/>
      <c r="GLK44" s="22"/>
      <c r="GLL44" s="22"/>
      <c r="GLM44" s="22"/>
      <c r="GLN44" s="22"/>
      <c r="GLO44" s="22"/>
      <c r="GLP44" s="22"/>
      <c r="GLQ44" s="22"/>
      <c r="GLR44" s="22"/>
      <c r="GLS44" s="22"/>
      <c r="GLT44" s="22"/>
      <c r="GLU44" s="22"/>
      <c r="GLV44" s="22"/>
      <c r="GLW44" s="22"/>
      <c r="GLX44" s="22"/>
      <c r="GLY44" s="22"/>
      <c r="GLZ44" s="22"/>
      <c r="GMA44" s="22"/>
      <c r="GMB44" s="22"/>
      <c r="GMC44" s="22"/>
      <c r="GMD44" s="22"/>
      <c r="GME44" s="22"/>
      <c r="GMF44" s="22"/>
      <c r="GMG44" s="22"/>
      <c r="GMH44" s="22"/>
      <c r="GMI44" s="22"/>
      <c r="GMJ44" s="22"/>
      <c r="GMK44" s="22"/>
      <c r="GML44" s="22"/>
      <c r="GMM44" s="22"/>
      <c r="GMN44" s="22"/>
      <c r="GMO44" s="22"/>
      <c r="GMP44" s="22"/>
      <c r="GMQ44" s="22"/>
      <c r="GMR44" s="22"/>
      <c r="GMS44" s="22"/>
      <c r="GMT44" s="22"/>
      <c r="GMU44" s="22"/>
      <c r="GMV44" s="22"/>
      <c r="GMW44" s="22"/>
      <c r="GMX44" s="22"/>
      <c r="GMY44" s="22"/>
      <c r="GMZ44" s="22"/>
      <c r="GNA44" s="22"/>
      <c r="GNB44" s="22"/>
      <c r="GNC44" s="22"/>
      <c r="GND44" s="22"/>
      <c r="GNE44" s="22"/>
      <c r="GNF44" s="22"/>
      <c r="GNG44" s="22"/>
      <c r="GNH44" s="22"/>
      <c r="GNI44" s="22"/>
      <c r="GNJ44" s="22"/>
      <c r="GNK44" s="22"/>
      <c r="GNL44" s="22"/>
      <c r="GNM44" s="22"/>
      <c r="GNN44" s="22"/>
      <c r="GNO44" s="22"/>
      <c r="GNP44" s="22"/>
      <c r="GNQ44" s="22"/>
      <c r="GNR44" s="22"/>
      <c r="GNS44" s="22"/>
      <c r="GNT44" s="22"/>
      <c r="GNU44" s="22"/>
      <c r="GNV44" s="22"/>
      <c r="GNW44" s="22"/>
      <c r="GNX44" s="22"/>
      <c r="GNY44" s="22"/>
      <c r="GNZ44" s="22"/>
      <c r="GOA44" s="22"/>
      <c r="GOB44" s="22"/>
      <c r="GOC44" s="22"/>
      <c r="GOD44" s="22"/>
      <c r="GOE44" s="22"/>
      <c r="GOF44" s="22"/>
      <c r="GOG44" s="22"/>
      <c r="GOH44" s="22"/>
      <c r="GOI44" s="22"/>
      <c r="GOJ44" s="22"/>
      <c r="GOK44" s="22"/>
      <c r="GOL44" s="22"/>
      <c r="GOM44" s="22"/>
      <c r="GON44" s="22"/>
      <c r="GOO44" s="22"/>
      <c r="GOP44" s="22"/>
      <c r="GOQ44" s="22"/>
      <c r="GOR44" s="22"/>
      <c r="GOS44" s="22"/>
      <c r="GOT44" s="22"/>
      <c r="GOU44" s="22"/>
      <c r="GOV44" s="22"/>
      <c r="GOW44" s="22"/>
      <c r="GOX44" s="22"/>
      <c r="GOY44" s="22"/>
      <c r="GOZ44" s="22"/>
      <c r="GPA44" s="22"/>
      <c r="GPB44" s="22"/>
      <c r="GPC44" s="22"/>
      <c r="GPD44" s="22"/>
      <c r="GPE44" s="22"/>
      <c r="GPF44" s="22"/>
      <c r="GPG44" s="22"/>
      <c r="GPH44" s="22"/>
      <c r="GPI44" s="22"/>
      <c r="GPJ44" s="22"/>
      <c r="GPK44" s="22"/>
      <c r="GPL44" s="22"/>
      <c r="GPM44" s="22"/>
      <c r="GPN44" s="22"/>
      <c r="GPO44" s="22"/>
      <c r="GPP44" s="22"/>
      <c r="GPQ44" s="22"/>
      <c r="GPR44" s="22"/>
      <c r="GPS44" s="22"/>
      <c r="GPT44" s="22"/>
      <c r="GPU44" s="22"/>
      <c r="GPV44" s="22"/>
      <c r="GPW44" s="22"/>
      <c r="GPX44" s="22"/>
      <c r="GPY44" s="22"/>
      <c r="GPZ44" s="22"/>
      <c r="GQA44" s="22"/>
      <c r="GQB44" s="22"/>
      <c r="GQC44" s="22"/>
      <c r="GQD44" s="22"/>
      <c r="GQE44" s="22"/>
      <c r="GQF44" s="22"/>
      <c r="GQG44" s="22"/>
      <c r="GQH44" s="22"/>
      <c r="GQI44" s="22"/>
      <c r="GQJ44" s="22"/>
      <c r="GQK44" s="22"/>
      <c r="GQL44" s="22"/>
      <c r="GQM44" s="22"/>
      <c r="GQN44" s="22"/>
      <c r="GQO44" s="22"/>
      <c r="GQP44" s="22"/>
      <c r="GQQ44" s="22"/>
      <c r="GQR44" s="22"/>
      <c r="GQS44" s="22"/>
      <c r="GQT44" s="22"/>
      <c r="GQU44" s="22"/>
      <c r="GQV44" s="22"/>
      <c r="GQW44" s="22"/>
      <c r="GQX44" s="22"/>
      <c r="GQY44" s="22"/>
      <c r="GQZ44" s="22"/>
      <c r="GRA44" s="22"/>
      <c r="GRB44" s="22"/>
      <c r="GRC44" s="22"/>
      <c r="GRD44" s="22"/>
      <c r="GRE44" s="22"/>
      <c r="GRF44" s="22"/>
      <c r="GRG44" s="22"/>
      <c r="GRH44" s="22"/>
      <c r="GRI44" s="22"/>
      <c r="GRJ44" s="22"/>
      <c r="GRK44" s="22"/>
      <c r="GRL44" s="22"/>
      <c r="GRM44" s="22"/>
      <c r="GRN44" s="22"/>
      <c r="GRO44" s="22"/>
      <c r="GRP44" s="22"/>
      <c r="GRQ44" s="22"/>
      <c r="GRR44" s="22"/>
      <c r="GRS44" s="22"/>
      <c r="GRT44" s="22"/>
      <c r="GRU44" s="22"/>
      <c r="GRV44" s="22"/>
      <c r="GRW44" s="22"/>
      <c r="GRX44" s="22"/>
      <c r="GRY44" s="22"/>
      <c r="GRZ44" s="22"/>
      <c r="GSA44" s="22"/>
      <c r="GSB44" s="22"/>
      <c r="GSC44" s="22"/>
      <c r="GSD44" s="22"/>
      <c r="GSE44" s="22"/>
      <c r="GSF44" s="22"/>
      <c r="GSG44" s="22"/>
      <c r="GSH44" s="22"/>
      <c r="GSI44" s="22"/>
      <c r="GSJ44" s="22"/>
      <c r="GSK44" s="22"/>
      <c r="GSL44" s="22"/>
      <c r="GSM44" s="22"/>
      <c r="GSN44" s="22"/>
      <c r="GSO44" s="22"/>
      <c r="GSP44" s="22"/>
      <c r="GSQ44" s="22"/>
      <c r="GSR44" s="22"/>
      <c r="GSS44" s="22"/>
      <c r="GST44" s="22"/>
      <c r="GSU44" s="22"/>
      <c r="GSV44" s="22"/>
      <c r="GSW44" s="22"/>
      <c r="GSX44" s="22"/>
      <c r="GSY44" s="22"/>
      <c r="GSZ44" s="22"/>
      <c r="GTA44" s="22"/>
      <c r="GTB44" s="22"/>
      <c r="GTC44" s="22"/>
      <c r="GTD44" s="22"/>
      <c r="GTE44" s="22"/>
      <c r="GTF44" s="22"/>
      <c r="GTG44" s="22"/>
      <c r="GTH44" s="22"/>
      <c r="GTI44" s="22"/>
      <c r="GTJ44" s="22"/>
      <c r="GTK44" s="22"/>
      <c r="GTL44" s="22"/>
      <c r="GTM44" s="22"/>
      <c r="GTN44" s="22"/>
      <c r="GTO44" s="22"/>
      <c r="GTP44" s="22"/>
      <c r="GTQ44" s="22"/>
      <c r="GTR44" s="22"/>
      <c r="GTS44" s="22"/>
      <c r="GTT44" s="22"/>
      <c r="GTU44" s="22"/>
      <c r="GTV44" s="22"/>
      <c r="GTW44" s="22"/>
      <c r="GTX44" s="22"/>
      <c r="GTY44" s="22"/>
      <c r="GTZ44" s="22"/>
      <c r="GUA44" s="22"/>
      <c r="GUB44" s="22"/>
      <c r="GUC44" s="22"/>
      <c r="GUD44" s="22"/>
      <c r="GUE44" s="22"/>
      <c r="GUF44" s="22"/>
      <c r="GUG44" s="22"/>
      <c r="GUH44" s="22"/>
      <c r="GUI44" s="22"/>
      <c r="GUJ44" s="22"/>
      <c r="GUK44" s="22"/>
      <c r="GUL44" s="22"/>
      <c r="GUM44" s="22"/>
      <c r="GUN44" s="22"/>
      <c r="GUO44" s="22"/>
      <c r="GUP44" s="22"/>
      <c r="GUQ44" s="22"/>
      <c r="GUR44" s="22"/>
      <c r="GUS44" s="22"/>
      <c r="GUT44" s="22"/>
      <c r="GUU44" s="22"/>
      <c r="GUV44" s="22"/>
      <c r="GUW44" s="22"/>
      <c r="GUX44" s="22"/>
      <c r="GUY44" s="22"/>
      <c r="GUZ44" s="22"/>
      <c r="GVA44" s="22"/>
      <c r="GVB44" s="22"/>
      <c r="GVC44" s="22"/>
      <c r="GVD44" s="22"/>
      <c r="GVE44" s="22"/>
      <c r="GVF44" s="22"/>
      <c r="GVG44" s="22"/>
      <c r="GVH44" s="22"/>
      <c r="GVI44" s="22"/>
      <c r="GVJ44" s="22"/>
      <c r="GVK44" s="22"/>
      <c r="GVL44" s="22"/>
      <c r="GVM44" s="22"/>
      <c r="GVN44" s="22"/>
      <c r="GVO44" s="22"/>
      <c r="GVP44" s="22"/>
      <c r="GVQ44" s="22"/>
      <c r="GVR44" s="22"/>
      <c r="GVS44" s="22"/>
      <c r="GVT44" s="22"/>
      <c r="GVU44" s="22"/>
      <c r="GVV44" s="22"/>
      <c r="GVW44" s="22"/>
      <c r="GVX44" s="22"/>
      <c r="GVY44" s="22"/>
      <c r="GVZ44" s="22"/>
      <c r="GWA44" s="22"/>
      <c r="GWB44" s="22"/>
      <c r="GWC44" s="22"/>
      <c r="GWD44" s="22"/>
      <c r="GWE44" s="22"/>
      <c r="GWF44" s="22"/>
      <c r="GWG44" s="22"/>
      <c r="GWH44" s="22"/>
      <c r="GWI44" s="22"/>
      <c r="GWJ44" s="22"/>
      <c r="GWK44" s="22"/>
      <c r="GWL44" s="22"/>
      <c r="GWM44" s="22"/>
      <c r="GWN44" s="22"/>
      <c r="GWO44" s="22"/>
      <c r="GWP44" s="22"/>
      <c r="GWQ44" s="22"/>
      <c r="GWR44" s="22"/>
      <c r="GWS44" s="22"/>
      <c r="GWT44" s="22"/>
      <c r="GWU44" s="22"/>
      <c r="GWV44" s="22"/>
      <c r="GWW44" s="22"/>
      <c r="GWX44" s="22"/>
      <c r="GWY44" s="22"/>
      <c r="GWZ44" s="22"/>
      <c r="GXA44" s="22"/>
      <c r="GXB44" s="22"/>
      <c r="GXC44" s="22"/>
      <c r="GXD44" s="22"/>
      <c r="GXE44" s="22"/>
      <c r="GXF44" s="22"/>
      <c r="GXG44" s="22"/>
      <c r="GXH44" s="22"/>
      <c r="GXI44" s="22"/>
      <c r="GXJ44" s="22"/>
      <c r="GXK44" s="22"/>
      <c r="GXL44" s="22"/>
      <c r="GXM44" s="22"/>
      <c r="GXN44" s="22"/>
      <c r="GXO44" s="22"/>
      <c r="GXP44" s="22"/>
      <c r="GXQ44" s="22"/>
      <c r="GXR44" s="22"/>
      <c r="GXS44" s="22"/>
      <c r="GXT44" s="22"/>
      <c r="GXU44" s="22"/>
      <c r="GXV44" s="22"/>
      <c r="GXW44" s="22"/>
      <c r="GXX44" s="22"/>
      <c r="GXY44" s="22"/>
      <c r="GXZ44" s="22"/>
      <c r="GYA44" s="22"/>
      <c r="GYB44" s="22"/>
      <c r="GYC44" s="22"/>
      <c r="GYD44" s="22"/>
      <c r="GYE44" s="22"/>
      <c r="GYF44" s="22"/>
      <c r="GYG44" s="22"/>
      <c r="GYH44" s="22"/>
      <c r="GYI44" s="22"/>
      <c r="GYJ44" s="22"/>
      <c r="GYK44" s="22"/>
      <c r="GYL44" s="22"/>
      <c r="GYM44" s="22"/>
      <c r="GYN44" s="22"/>
      <c r="GYO44" s="22"/>
      <c r="GYP44" s="22"/>
      <c r="GYQ44" s="22"/>
      <c r="GYR44" s="22"/>
      <c r="GYS44" s="22"/>
      <c r="GYT44" s="22"/>
      <c r="GYU44" s="22"/>
      <c r="GYV44" s="22"/>
      <c r="GYW44" s="22"/>
      <c r="GYX44" s="22"/>
      <c r="GYY44" s="22"/>
      <c r="GYZ44" s="22"/>
      <c r="GZA44" s="22"/>
      <c r="GZB44" s="22"/>
      <c r="GZC44" s="22"/>
      <c r="GZD44" s="22"/>
      <c r="GZE44" s="22"/>
      <c r="GZF44" s="22"/>
      <c r="GZG44" s="22"/>
      <c r="GZH44" s="22"/>
      <c r="GZI44" s="22"/>
      <c r="GZJ44" s="22"/>
      <c r="GZK44" s="22"/>
      <c r="GZL44" s="22"/>
      <c r="GZM44" s="22"/>
      <c r="GZN44" s="22"/>
      <c r="GZO44" s="22"/>
      <c r="GZP44" s="22"/>
      <c r="GZQ44" s="22"/>
      <c r="GZR44" s="22"/>
      <c r="GZS44" s="22"/>
      <c r="GZT44" s="22"/>
      <c r="GZU44" s="22"/>
      <c r="GZV44" s="22"/>
      <c r="GZW44" s="22"/>
      <c r="GZX44" s="22"/>
      <c r="GZY44" s="22"/>
      <c r="GZZ44" s="22"/>
      <c r="HAA44" s="22"/>
      <c r="HAB44" s="22"/>
      <c r="HAC44" s="22"/>
      <c r="HAD44" s="22"/>
      <c r="HAE44" s="22"/>
      <c r="HAF44" s="22"/>
      <c r="HAG44" s="22"/>
      <c r="HAH44" s="22"/>
      <c r="HAI44" s="22"/>
      <c r="HAJ44" s="22"/>
      <c r="HAK44" s="22"/>
      <c r="HAL44" s="22"/>
      <c r="HAM44" s="22"/>
      <c r="HAN44" s="22"/>
      <c r="HAO44" s="22"/>
      <c r="HAP44" s="22"/>
      <c r="HAQ44" s="22"/>
      <c r="HAR44" s="22"/>
      <c r="HAS44" s="22"/>
      <c r="HAT44" s="22"/>
      <c r="HAU44" s="22"/>
      <c r="HAV44" s="22"/>
      <c r="HAW44" s="22"/>
      <c r="HAX44" s="22"/>
      <c r="HAY44" s="22"/>
      <c r="HAZ44" s="22"/>
      <c r="HBA44" s="22"/>
      <c r="HBB44" s="22"/>
      <c r="HBC44" s="22"/>
      <c r="HBD44" s="22"/>
      <c r="HBE44" s="22"/>
      <c r="HBF44" s="22"/>
      <c r="HBG44" s="22"/>
      <c r="HBH44" s="22"/>
      <c r="HBI44" s="22"/>
      <c r="HBJ44" s="22"/>
      <c r="HBK44" s="22"/>
      <c r="HBL44" s="22"/>
      <c r="HBM44" s="22"/>
      <c r="HBN44" s="22"/>
      <c r="HBO44" s="22"/>
      <c r="HBP44" s="22"/>
      <c r="HBQ44" s="22"/>
      <c r="HBR44" s="22"/>
      <c r="HBS44" s="22"/>
      <c r="HBT44" s="22"/>
      <c r="HBU44" s="22"/>
      <c r="HBV44" s="22"/>
      <c r="HBW44" s="22"/>
      <c r="HBX44" s="22"/>
      <c r="HBY44" s="22"/>
      <c r="HBZ44" s="22"/>
      <c r="HCA44" s="22"/>
      <c r="HCB44" s="22"/>
      <c r="HCC44" s="22"/>
      <c r="HCD44" s="22"/>
      <c r="HCE44" s="22"/>
      <c r="HCF44" s="22"/>
      <c r="HCG44" s="22"/>
      <c r="HCH44" s="22"/>
      <c r="HCI44" s="22"/>
      <c r="HCJ44" s="22"/>
      <c r="HCK44" s="22"/>
      <c r="HCL44" s="22"/>
      <c r="HCM44" s="22"/>
      <c r="HCN44" s="22"/>
      <c r="HCO44" s="22"/>
      <c r="HCP44" s="22"/>
      <c r="HCQ44" s="22"/>
      <c r="HCR44" s="22"/>
      <c r="HCS44" s="22"/>
      <c r="HCT44" s="22"/>
      <c r="HCU44" s="22"/>
      <c r="HCV44" s="22"/>
      <c r="HCW44" s="22"/>
      <c r="HCX44" s="22"/>
      <c r="HCY44" s="22"/>
      <c r="HCZ44" s="22"/>
      <c r="HDA44" s="22"/>
      <c r="HDB44" s="22"/>
      <c r="HDC44" s="22"/>
      <c r="HDD44" s="22"/>
      <c r="HDE44" s="22"/>
      <c r="HDF44" s="22"/>
      <c r="HDG44" s="22"/>
      <c r="HDH44" s="22"/>
      <c r="HDI44" s="22"/>
      <c r="HDJ44" s="22"/>
      <c r="HDK44" s="22"/>
      <c r="HDL44" s="22"/>
      <c r="HDM44" s="22"/>
      <c r="HDN44" s="22"/>
      <c r="HDO44" s="22"/>
      <c r="HDP44" s="22"/>
      <c r="HDQ44" s="22"/>
      <c r="HDR44" s="22"/>
      <c r="HDS44" s="22"/>
      <c r="HDT44" s="22"/>
      <c r="HDU44" s="22"/>
      <c r="HDV44" s="22"/>
      <c r="HDW44" s="22"/>
      <c r="HDX44" s="22"/>
      <c r="HDY44" s="22"/>
      <c r="HDZ44" s="22"/>
      <c r="HEA44" s="22"/>
      <c r="HEB44" s="22"/>
      <c r="HEC44" s="22"/>
      <c r="HED44" s="22"/>
      <c r="HEE44" s="22"/>
      <c r="HEF44" s="22"/>
      <c r="HEG44" s="22"/>
      <c r="HEH44" s="22"/>
      <c r="HEI44" s="22"/>
      <c r="HEJ44" s="22"/>
      <c r="HEK44" s="22"/>
      <c r="HEL44" s="22"/>
      <c r="HEM44" s="22"/>
      <c r="HEN44" s="22"/>
      <c r="HEO44" s="22"/>
      <c r="HEP44" s="22"/>
      <c r="HEQ44" s="22"/>
      <c r="HER44" s="22"/>
      <c r="HES44" s="22"/>
      <c r="HET44" s="22"/>
      <c r="HEU44" s="22"/>
      <c r="HEV44" s="22"/>
      <c r="HEW44" s="22"/>
      <c r="HEX44" s="22"/>
      <c r="HEY44" s="22"/>
      <c r="HEZ44" s="22"/>
      <c r="HFA44" s="22"/>
      <c r="HFB44" s="22"/>
      <c r="HFC44" s="22"/>
      <c r="HFD44" s="22"/>
      <c r="HFE44" s="22"/>
      <c r="HFF44" s="22"/>
      <c r="HFG44" s="22"/>
      <c r="HFH44" s="22"/>
      <c r="HFI44" s="22"/>
      <c r="HFJ44" s="22"/>
      <c r="HFK44" s="22"/>
      <c r="HFL44" s="22"/>
      <c r="HFM44" s="22"/>
      <c r="HFN44" s="22"/>
      <c r="HFO44" s="22"/>
      <c r="HFP44" s="22"/>
      <c r="HFQ44" s="22"/>
      <c r="HFR44" s="22"/>
      <c r="HFS44" s="22"/>
      <c r="HFT44" s="22"/>
      <c r="HFU44" s="22"/>
      <c r="HFV44" s="22"/>
      <c r="HFW44" s="22"/>
      <c r="HFX44" s="22"/>
      <c r="HFY44" s="22"/>
      <c r="HFZ44" s="22"/>
      <c r="HGA44" s="22"/>
      <c r="HGB44" s="22"/>
      <c r="HGC44" s="22"/>
      <c r="HGD44" s="22"/>
      <c r="HGE44" s="22"/>
      <c r="HGF44" s="22"/>
      <c r="HGG44" s="22"/>
      <c r="HGH44" s="22"/>
      <c r="HGI44" s="22"/>
      <c r="HGJ44" s="22"/>
      <c r="HGK44" s="22"/>
      <c r="HGL44" s="22"/>
      <c r="HGM44" s="22"/>
      <c r="HGN44" s="22"/>
      <c r="HGO44" s="22"/>
      <c r="HGP44" s="22"/>
      <c r="HGQ44" s="22"/>
      <c r="HGR44" s="22"/>
      <c r="HGS44" s="22"/>
      <c r="HGT44" s="22"/>
      <c r="HGU44" s="22"/>
      <c r="HGV44" s="22"/>
      <c r="HGW44" s="22"/>
      <c r="HGX44" s="22"/>
      <c r="HGY44" s="22"/>
      <c r="HGZ44" s="22"/>
      <c r="HHA44" s="22"/>
      <c r="HHB44" s="22"/>
      <c r="HHC44" s="22"/>
      <c r="HHD44" s="22"/>
      <c r="HHE44" s="22"/>
      <c r="HHF44" s="22"/>
      <c r="HHG44" s="22"/>
      <c r="HHH44" s="22"/>
      <c r="HHI44" s="22"/>
      <c r="HHJ44" s="22"/>
      <c r="HHK44" s="22"/>
      <c r="HHL44" s="22"/>
      <c r="HHM44" s="22"/>
      <c r="HHN44" s="22"/>
      <c r="HHO44" s="22"/>
      <c r="HHP44" s="22"/>
      <c r="HHQ44" s="22"/>
      <c r="HHR44" s="22"/>
      <c r="HHS44" s="22"/>
      <c r="HHT44" s="22"/>
      <c r="HHU44" s="22"/>
      <c r="HHV44" s="22"/>
      <c r="HHW44" s="22"/>
      <c r="HHX44" s="22"/>
      <c r="HHY44" s="22"/>
      <c r="HHZ44" s="22"/>
      <c r="HIA44" s="22"/>
      <c r="HIB44" s="22"/>
      <c r="HIC44" s="22"/>
      <c r="HID44" s="22"/>
      <c r="HIE44" s="22"/>
      <c r="HIF44" s="22"/>
      <c r="HIG44" s="22"/>
      <c r="HIH44" s="22"/>
      <c r="HII44" s="22"/>
      <c r="HIJ44" s="22"/>
      <c r="HIK44" s="22"/>
      <c r="HIL44" s="22"/>
      <c r="HIM44" s="22"/>
      <c r="HIN44" s="22"/>
      <c r="HIO44" s="22"/>
      <c r="HIP44" s="22"/>
      <c r="HIQ44" s="22"/>
      <c r="HIR44" s="22"/>
      <c r="HIS44" s="22"/>
      <c r="HIT44" s="22"/>
      <c r="HIU44" s="22"/>
      <c r="HIV44" s="22"/>
      <c r="HIW44" s="22"/>
      <c r="HIX44" s="22"/>
      <c r="HIY44" s="22"/>
      <c r="HIZ44" s="22"/>
      <c r="HJA44" s="22"/>
      <c r="HJB44" s="22"/>
      <c r="HJC44" s="22"/>
      <c r="HJD44" s="22"/>
      <c r="HJE44" s="22"/>
      <c r="HJF44" s="22"/>
      <c r="HJG44" s="22"/>
      <c r="HJH44" s="22"/>
      <c r="HJI44" s="22"/>
      <c r="HJJ44" s="22"/>
      <c r="HJK44" s="22"/>
      <c r="HJL44" s="22"/>
      <c r="HJM44" s="22"/>
      <c r="HJN44" s="22"/>
      <c r="HJO44" s="22"/>
      <c r="HJP44" s="22"/>
      <c r="HJQ44" s="22"/>
      <c r="HJR44" s="22"/>
      <c r="HJS44" s="22"/>
      <c r="HJT44" s="22"/>
      <c r="HJU44" s="22"/>
      <c r="HJV44" s="22"/>
      <c r="HJW44" s="22"/>
      <c r="HJX44" s="22"/>
      <c r="HJY44" s="22"/>
      <c r="HJZ44" s="22"/>
      <c r="HKA44" s="22"/>
      <c r="HKB44" s="22"/>
      <c r="HKC44" s="22"/>
      <c r="HKD44" s="22"/>
      <c r="HKE44" s="22"/>
      <c r="HKF44" s="22"/>
      <c r="HKG44" s="22"/>
      <c r="HKH44" s="22"/>
      <c r="HKI44" s="22"/>
      <c r="HKJ44" s="22"/>
      <c r="HKK44" s="22"/>
      <c r="HKL44" s="22"/>
      <c r="HKM44" s="22"/>
      <c r="HKN44" s="22"/>
      <c r="HKO44" s="22"/>
      <c r="HKP44" s="22"/>
      <c r="HKQ44" s="22"/>
      <c r="HKR44" s="22"/>
      <c r="HKS44" s="22"/>
      <c r="HKT44" s="22"/>
      <c r="HKU44" s="22"/>
      <c r="HKV44" s="22"/>
      <c r="HKW44" s="22"/>
      <c r="HKX44" s="22"/>
      <c r="HKY44" s="22"/>
      <c r="HKZ44" s="22"/>
      <c r="HLA44" s="22"/>
      <c r="HLB44" s="22"/>
      <c r="HLC44" s="22"/>
      <c r="HLD44" s="22"/>
      <c r="HLE44" s="22"/>
      <c r="HLF44" s="22"/>
      <c r="HLG44" s="22"/>
      <c r="HLH44" s="22"/>
      <c r="HLI44" s="22"/>
      <c r="HLJ44" s="22"/>
      <c r="HLK44" s="22"/>
      <c r="HLL44" s="22"/>
      <c r="HLM44" s="22"/>
      <c r="HLN44" s="22"/>
      <c r="HLO44" s="22"/>
      <c r="HLP44" s="22"/>
      <c r="HLQ44" s="22"/>
      <c r="HLR44" s="22"/>
      <c r="HLS44" s="22"/>
      <c r="HLT44" s="22"/>
      <c r="HLU44" s="22"/>
      <c r="HLV44" s="22"/>
      <c r="HLW44" s="22"/>
      <c r="HLX44" s="22"/>
      <c r="HLY44" s="22"/>
      <c r="HLZ44" s="22"/>
      <c r="HMA44" s="22"/>
      <c r="HMB44" s="22"/>
      <c r="HMC44" s="22"/>
      <c r="HMD44" s="22"/>
      <c r="HME44" s="22"/>
      <c r="HMF44" s="22"/>
      <c r="HMG44" s="22"/>
      <c r="HMH44" s="22"/>
      <c r="HMI44" s="22"/>
      <c r="HMJ44" s="22"/>
      <c r="HMK44" s="22"/>
      <c r="HML44" s="22"/>
      <c r="HMM44" s="22"/>
      <c r="HMN44" s="22"/>
      <c r="HMO44" s="22"/>
      <c r="HMP44" s="22"/>
      <c r="HMQ44" s="22"/>
      <c r="HMR44" s="22"/>
      <c r="HMS44" s="22"/>
      <c r="HMT44" s="22"/>
      <c r="HMU44" s="22"/>
      <c r="HMV44" s="22"/>
      <c r="HMW44" s="22"/>
      <c r="HMX44" s="22"/>
      <c r="HMY44" s="22"/>
      <c r="HMZ44" s="22"/>
      <c r="HNA44" s="22"/>
      <c r="HNB44" s="22"/>
      <c r="HNC44" s="22"/>
      <c r="HND44" s="22"/>
      <c r="HNE44" s="22"/>
      <c r="HNF44" s="22"/>
      <c r="HNG44" s="22"/>
      <c r="HNH44" s="22"/>
      <c r="HNI44" s="22"/>
      <c r="HNJ44" s="22"/>
      <c r="HNK44" s="22"/>
      <c r="HNL44" s="22"/>
      <c r="HNM44" s="22"/>
      <c r="HNN44" s="22"/>
      <c r="HNO44" s="22"/>
      <c r="HNP44" s="22"/>
      <c r="HNQ44" s="22"/>
      <c r="HNR44" s="22"/>
      <c r="HNS44" s="22"/>
      <c r="HNT44" s="22"/>
      <c r="HNU44" s="22"/>
      <c r="HNV44" s="22"/>
      <c r="HNW44" s="22"/>
      <c r="HNX44" s="22"/>
      <c r="HNY44" s="22"/>
      <c r="HNZ44" s="22"/>
      <c r="HOA44" s="22"/>
      <c r="HOB44" s="22"/>
      <c r="HOC44" s="22"/>
      <c r="HOD44" s="22"/>
      <c r="HOE44" s="22"/>
      <c r="HOF44" s="22"/>
      <c r="HOG44" s="22"/>
      <c r="HOH44" s="22"/>
      <c r="HOI44" s="22"/>
      <c r="HOJ44" s="22"/>
      <c r="HOK44" s="22"/>
      <c r="HOL44" s="22"/>
      <c r="HOM44" s="22"/>
      <c r="HON44" s="22"/>
      <c r="HOO44" s="22"/>
      <c r="HOP44" s="22"/>
      <c r="HOQ44" s="22"/>
      <c r="HOR44" s="22"/>
      <c r="HOS44" s="22"/>
      <c r="HOT44" s="22"/>
      <c r="HOU44" s="22"/>
      <c r="HOV44" s="22"/>
      <c r="HOW44" s="22"/>
      <c r="HOX44" s="22"/>
      <c r="HOY44" s="22"/>
      <c r="HOZ44" s="22"/>
      <c r="HPA44" s="22"/>
      <c r="HPB44" s="22"/>
      <c r="HPC44" s="22"/>
      <c r="HPD44" s="22"/>
      <c r="HPE44" s="22"/>
      <c r="HPF44" s="22"/>
      <c r="HPG44" s="22"/>
      <c r="HPH44" s="22"/>
      <c r="HPI44" s="22"/>
      <c r="HPJ44" s="22"/>
      <c r="HPK44" s="22"/>
      <c r="HPL44" s="22"/>
      <c r="HPM44" s="22"/>
      <c r="HPN44" s="22"/>
      <c r="HPO44" s="22"/>
      <c r="HPP44" s="22"/>
      <c r="HPQ44" s="22"/>
      <c r="HPR44" s="22"/>
      <c r="HPS44" s="22"/>
      <c r="HPT44" s="22"/>
      <c r="HPU44" s="22"/>
      <c r="HPV44" s="22"/>
      <c r="HPW44" s="22"/>
      <c r="HPX44" s="22"/>
      <c r="HPY44" s="22"/>
      <c r="HPZ44" s="22"/>
      <c r="HQA44" s="22"/>
      <c r="HQB44" s="22"/>
      <c r="HQC44" s="22"/>
      <c r="HQD44" s="22"/>
      <c r="HQE44" s="22"/>
      <c r="HQF44" s="22"/>
      <c r="HQG44" s="22"/>
      <c r="HQH44" s="22"/>
      <c r="HQI44" s="22"/>
      <c r="HQJ44" s="22"/>
      <c r="HQK44" s="22"/>
      <c r="HQL44" s="22"/>
      <c r="HQM44" s="22"/>
      <c r="HQN44" s="22"/>
      <c r="HQO44" s="22"/>
      <c r="HQP44" s="22"/>
      <c r="HQQ44" s="22"/>
      <c r="HQR44" s="22"/>
      <c r="HQS44" s="22"/>
      <c r="HQT44" s="22"/>
      <c r="HQU44" s="22"/>
      <c r="HQV44" s="22"/>
      <c r="HQW44" s="22"/>
      <c r="HQX44" s="22"/>
      <c r="HQY44" s="22"/>
      <c r="HQZ44" s="22"/>
      <c r="HRA44" s="22"/>
      <c r="HRB44" s="22"/>
      <c r="HRC44" s="22"/>
      <c r="HRD44" s="22"/>
      <c r="HRE44" s="22"/>
      <c r="HRF44" s="22"/>
      <c r="HRG44" s="22"/>
      <c r="HRH44" s="22"/>
      <c r="HRI44" s="22"/>
      <c r="HRJ44" s="22"/>
      <c r="HRK44" s="22"/>
      <c r="HRL44" s="22"/>
      <c r="HRM44" s="22"/>
      <c r="HRN44" s="22"/>
      <c r="HRO44" s="22"/>
      <c r="HRP44" s="22"/>
      <c r="HRQ44" s="22"/>
      <c r="HRR44" s="22"/>
      <c r="HRS44" s="22"/>
      <c r="HRT44" s="22"/>
      <c r="HRU44" s="22"/>
      <c r="HRV44" s="22"/>
      <c r="HRW44" s="22"/>
      <c r="HRX44" s="22"/>
      <c r="HRY44" s="22"/>
      <c r="HRZ44" s="22"/>
      <c r="HSA44" s="22"/>
      <c r="HSB44" s="22"/>
      <c r="HSC44" s="22"/>
      <c r="HSD44" s="22"/>
      <c r="HSE44" s="22"/>
      <c r="HSF44" s="22"/>
      <c r="HSG44" s="22"/>
      <c r="HSH44" s="22"/>
      <c r="HSI44" s="22"/>
      <c r="HSJ44" s="22"/>
      <c r="HSK44" s="22"/>
      <c r="HSL44" s="22"/>
      <c r="HSM44" s="22"/>
      <c r="HSN44" s="22"/>
      <c r="HSO44" s="22"/>
      <c r="HSP44" s="22"/>
      <c r="HSQ44" s="22"/>
      <c r="HSR44" s="22"/>
      <c r="HSS44" s="22"/>
      <c r="HST44" s="22"/>
      <c r="HSU44" s="22"/>
      <c r="HSV44" s="22"/>
      <c r="HSW44" s="22"/>
      <c r="HSX44" s="22"/>
      <c r="HSY44" s="22"/>
      <c r="HSZ44" s="22"/>
      <c r="HTA44" s="22"/>
      <c r="HTB44" s="22"/>
      <c r="HTC44" s="22"/>
      <c r="HTD44" s="22"/>
      <c r="HTE44" s="22"/>
      <c r="HTF44" s="22"/>
      <c r="HTG44" s="22"/>
      <c r="HTH44" s="22"/>
      <c r="HTI44" s="22"/>
      <c r="HTJ44" s="22"/>
      <c r="HTK44" s="22"/>
      <c r="HTL44" s="22"/>
      <c r="HTM44" s="22"/>
      <c r="HTN44" s="22"/>
      <c r="HTO44" s="22"/>
      <c r="HTP44" s="22"/>
      <c r="HTQ44" s="22"/>
      <c r="HTR44" s="22"/>
      <c r="HTS44" s="22"/>
      <c r="HTT44" s="22"/>
      <c r="HTU44" s="22"/>
      <c r="HTV44" s="22"/>
      <c r="HTW44" s="22"/>
      <c r="HTX44" s="22"/>
      <c r="HTY44" s="22"/>
      <c r="HTZ44" s="22"/>
      <c r="HUA44" s="22"/>
      <c r="HUB44" s="22"/>
      <c r="HUC44" s="22"/>
      <c r="HUD44" s="22"/>
      <c r="HUE44" s="22"/>
      <c r="HUF44" s="22"/>
      <c r="HUG44" s="22"/>
      <c r="HUH44" s="22"/>
      <c r="HUI44" s="22"/>
      <c r="HUJ44" s="22"/>
      <c r="HUK44" s="22"/>
      <c r="HUL44" s="22"/>
      <c r="HUM44" s="22"/>
      <c r="HUN44" s="22"/>
      <c r="HUO44" s="22"/>
      <c r="HUP44" s="22"/>
      <c r="HUQ44" s="22"/>
      <c r="HUR44" s="22"/>
      <c r="HUS44" s="22"/>
      <c r="HUT44" s="22"/>
      <c r="HUU44" s="22"/>
      <c r="HUV44" s="22"/>
      <c r="HUW44" s="22"/>
      <c r="HUX44" s="22"/>
      <c r="HUY44" s="22"/>
      <c r="HUZ44" s="22"/>
      <c r="HVA44" s="22"/>
      <c r="HVB44" s="22"/>
      <c r="HVC44" s="22"/>
      <c r="HVD44" s="22"/>
      <c r="HVE44" s="22"/>
      <c r="HVF44" s="22"/>
      <c r="HVG44" s="22"/>
      <c r="HVH44" s="22"/>
      <c r="HVI44" s="22"/>
      <c r="HVJ44" s="22"/>
      <c r="HVK44" s="22"/>
      <c r="HVL44" s="22"/>
      <c r="HVM44" s="22"/>
      <c r="HVN44" s="22"/>
      <c r="HVO44" s="22"/>
      <c r="HVP44" s="22"/>
      <c r="HVQ44" s="22"/>
      <c r="HVR44" s="22"/>
      <c r="HVS44" s="22"/>
      <c r="HVT44" s="22"/>
      <c r="HVU44" s="22"/>
      <c r="HVV44" s="22"/>
      <c r="HVW44" s="22"/>
      <c r="HVX44" s="22"/>
      <c r="HVY44" s="22"/>
      <c r="HVZ44" s="22"/>
      <c r="HWA44" s="22"/>
      <c r="HWB44" s="22"/>
      <c r="HWC44" s="22"/>
      <c r="HWD44" s="22"/>
      <c r="HWE44" s="22"/>
      <c r="HWF44" s="22"/>
      <c r="HWG44" s="22"/>
      <c r="HWH44" s="22"/>
      <c r="HWI44" s="22"/>
      <c r="HWJ44" s="22"/>
      <c r="HWK44" s="22"/>
      <c r="HWL44" s="22"/>
      <c r="HWM44" s="22"/>
      <c r="HWN44" s="22"/>
      <c r="HWO44" s="22"/>
      <c r="HWP44" s="22"/>
      <c r="HWQ44" s="22"/>
      <c r="HWR44" s="22"/>
      <c r="HWS44" s="22"/>
      <c r="HWT44" s="22"/>
      <c r="HWU44" s="22"/>
      <c r="HWV44" s="22"/>
      <c r="HWW44" s="22"/>
      <c r="HWX44" s="22"/>
      <c r="HWY44" s="22"/>
      <c r="HWZ44" s="22"/>
      <c r="HXA44" s="22"/>
      <c r="HXB44" s="22"/>
      <c r="HXC44" s="22"/>
      <c r="HXD44" s="22"/>
      <c r="HXE44" s="22"/>
      <c r="HXF44" s="22"/>
      <c r="HXG44" s="22"/>
      <c r="HXH44" s="22"/>
      <c r="HXI44" s="22"/>
      <c r="HXJ44" s="22"/>
      <c r="HXK44" s="22"/>
      <c r="HXL44" s="22"/>
      <c r="HXM44" s="22"/>
      <c r="HXN44" s="22"/>
      <c r="HXO44" s="22"/>
      <c r="HXP44" s="22"/>
      <c r="HXQ44" s="22"/>
      <c r="HXR44" s="22"/>
      <c r="HXS44" s="22"/>
      <c r="HXT44" s="22"/>
      <c r="HXU44" s="22"/>
      <c r="HXV44" s="22"/>
      <c r="HXW44" s="22"/>
      <c r="HXX44" s="22"/>
      <c r="HXY44" s="22"/>
      <c r="HXZ44" s="22"/>
      <c r="HYA44" s="22"/>
      <c r="HYB44" s="22"/>
      <c r="HYC44" s="22"/>
      <c r="HYD44" s="22"/>
      <c r="HYE44" s="22"/>
      <c r="HYF44" s="22"/>
      <c r="HYG44" s="22"/>
      <c r="HYH44" s="22"/>
      <c r="HYI44" s="22"/>
      <c r="HYJ44" s="22"/>
      <c r="HYK44" s="22"/>
      <c r="HYL44" s="22"/>
      <c r="HYM44" s="22"/>
      <c r="HYN44" s="22"/>
      <c r="HYO44" s="22"/>
      <c r="HYP44" s="22"/>
      <c r="HYQ44" s="22"/>
      <c r="HYR44" s="22"/>
      <c r="HYS44" s="22"/>
      <c r="HYT44" s="22"/>
      <c r="HYU44" s="22"/>
      <c r="HYV44" s="22"/>
      <c r="HYW44" s="22"/>
      <c r="HYX44" s="22"/>
      <c r="HYY44" s="22"/>
      <c r="HYZ44" s="22"/>
      <c r="HZA44" s="22"/>
      <c r="HZB44" s="22"/>
      <c r="HZC44" s="22"/>
      <c r="HZD44" s="22"/>
      <c r="HZE44" s="22"/>
      <c r="HZF44" s="22"/>
      <c r="HZG44" s="22"/>
      <c r="HZH44" s="22"/>
      <c r="HZI44" s="22"/>
      <c r="HZJ44" s="22"/>
      <c r="HZK44" s="22"/>
      <c r="HZL44" s="22"/>
      <c r="HZM44" s="22"/>
      <c r="HZN44" s="22"/>
      <c r="HZO44" s="22"/>
      <c r="HZP44" s="22"/>
      <c r="HZQ44" s="22"/>
      <c r="HZR44" s="22"/>
      <c r="HZS44" s="22"/>
      <c r="HZT44" s="22"/>
      <c r="HZU44" s="22"/>
      <c r="HZV44" s="22"/>
      <c r="HZW44" s="22"/>
      <c r="HZX44" s="22"/>
      <c r="HZY44" s="22"/>
      <c r="HZZ44" s="22"/>
      <c r="IAA44" s="22"/>
      <c r="IAB44" s="22"/>
      <c r="IAC44" s="22"/>
      <c r="IAD44" s="22"/>
      <c r="IAE44" s="22"/>
      <c r="IAF44" s="22"/>
      <c r="IAG44" s="22"/>
      <c r="IAH44" s="22"/>
      <c r="IAI44" s="22"/>
      <c r="IAJ44" s="22"/>
      <c r="IAK44" s="22"/>
      <c r="IAL44" s="22"/>
      <c r="IAM44" s="22"/>
      <c r="IAN44" s="22"/>
      <c r="IAO44" s="22"/>
      <c r="IAP44" s="22"/>
      <c r="IAQ44" s="22"/>
      <c r="IAR44" s="22"/>
      <c r="IAS44" s="22"/>
      <c r="IAT44" s="22"/>
      <c r="IAU44" s="22"/>
      <c r="IAV44" s="22"/>
      <c r="IAW44" s="22"/>
      <c r="IAX44" s="22"/>
      <c r="IAY44" s="22"/>
      <c r="IAZ44" s="22"/>
      <c r="IBA44" s="22"/>
      <c r="IBB44" s="22"/>
      <c r="IBC44" s="22"/>
      <c r="IBD44" s="22"/>
      <c r="IBE44" s="22"/>
      <c r="IBF44" s="22"/>
      <c r="IBG44" s="22"/>
      <c r="IBH44" s="22"/>
      <c r="IBI44" s="22"/>
      <c r="IBJ44" s="22"/>
      <c r="IBK44" s="22"/>
      <c r="IBL44" s="22"/>
      <c r="IBM44" s="22"/>
      <c r="IBN44" s="22"/>
      <c r="IBO44" s="22"/>
      <c r="IBP44" s="22"/>
      <c r="IBQ44" s="22"/>
      <c r="IBR44" s="22"/>
      <c r="IBS44" s="22"/>
      <c r="IBT44" s="22"/>
      <c r="IBU44" s="22"/>
      <c r="IBV44" s="22"/>
      <c r="IBW44" s="22"/>
      <c r="IBX44" s="22"/>
      <c r="IBY44" s="22"/>
      <c r="IBZ44" s="22"/>
      <c r="ICA44" s="22"/>
      <c r="ICB44" s="22"/>
      <c r="ICC44" s="22"/>
      <c r="ICD44" s="22"/>
      <c r="ICE44" s="22"/>
      <c r="ICF44" s="22"/>
      <c r="ICG44" s="22"/>
      <c r="ICH44" s="22"/>
      <c r="ICI44" s="22"/>
      <c r="ICJ44" s="22"/>
      <c r="ICK44" s="22"/>
      <c r="ICL44" s="22"/>
      <c r="ICM44" s="22"/>
      <c r="ICN44" s="22"/>
      <c r="ICO44" s="22"/>
      <c r="ICP44" s="22"/>
      <c r="ICQ44" s="22"/>
      <c r="ICR44" s="22"/>
      <c r="ICS44" s="22"/>
      <c r="ICT44" s="22"/>
      <c r="ICU44" s="22"/>
      <c r="ICV44" s="22"/>
      <c r="ICW44" s="22"/>
      <c r="ICX44" s="22"/>
      <c r="ICY44" s="22"/>
      <c r="ICZ44" s="22"/>
      <c r="IDA44" s="22"/>
      <c r="IDB44" s="22"/>
      <c r="IDC44" s="22"/>
      <c r="IDD44" s="22"/>
      <c r="IDE44" s="22"/>
      <c r="IDF44" s="22"/>
      <c r="IDG44" s="22"/>
      <c r="IDH44" s="22"/>
      <c r="IDI44" s="22"/>
      <c r="IDJ44" s="22"/>
      <c r="IDK44" s="22"/>
      <c r="IDL44" s="22"/>
      <c r="IDM44" s="22"/>
      <c r="IDN44" s="22"/>
      <c r="IDO44" s="22"/>
      <c r="IDP44" s="22"/>
      <c r="IDQ44" s="22"/>
      <c r="IDR44" s="22"/>
      <c r="IDS44" s="22"/>
      <c r="IDT44" s="22"/>
      <c r="IDU44" s="22"/>
      <c r="IDV44" s="22"/>
      <c r="IDW44" s="22"/>
      <c r="IDX44" s="22"/>
      <c r="IDY44" s="22"/>
      <c r="IDZ44" s="22"/>
      <c r="IEA44" s="22"/>
      <c r="IEB44" s="22"/>
      <c r="IEC44" s="22"/>
      <c r="IED44" s="22"/>
      <c r="IEE44" s="22"/>
      <c r="IEF44" s="22"/>
      <c r="IEG44" s="22"/>
      <c r="IEH44" s="22"/>
      <c r="IEI44" s="22"/>
      <c r="IEJ44" s="22"/>
      <c r="IEK44" s="22"/>
      <c r="IEL44" s="22"/>
      <c r="IEM44" s="22"/>
      <c r="IEN44" s="22"/>
      <c r="IEO44" s="22"/>
      <c r="IEP44" s="22"/>
      <c r="IEQ44" s="22"/>
      <c r="IER44" s="22"/>
      <c r="IES44" s="22"/>
      <c r="IET44" s="22"/>
      <c r="IEU44" s="22"/>
      <c r="IEV44" s="22"/>
      <c r="IEW44" s="22"/>
      <c r="IEX44" s="22"/>
      <c r="IEY44" s="22"/>
      <c r="IEZ44" s="22"/>
      <c r="IFA44" s="22"/>
      <c r="IFB44" s="22"/>
      <c r="IFC44" s="22"/>
      <c r="IFD44" s="22"/>
      <c r="IFE44" s="22"/>
      <c r="IFF44" s="22"/>
      <c r="IFG44" s="22"/>
      <c r="IFH44" s="22"/>
      <c r="IFI44" s="22"/>
      <c r="IFJ44" s="22"/>
      <c r="IFK44" s="22"/>
      <c r="IFL44" s="22"/>
      <c r="IFM44" s="22"/>
      <c r="IFN44" s="22"/>
      <c r="IFO44" s="22"/>
      <c r="IFP44" s="22"/>
      <c r="IFQ44" s="22"/>
      <c r="IFR44" s="22"/>
      <c r="IFS44" s="22"/>
      <c r="IFT44" s="22"/>
      <c r="IFU44" s="22"/>
      <c r="IFV44" s="22"/>
      <c r="IFW44" s="22"/>
      <c r="IFX44" s="22"/>
      <c r="IFY44" s="22"/>
      <c r="IFZ44" s="22"/>
      <c r="IGA44" s="22"/>
      <c r="IGB44" s="22"/>
      <c r="IGC44" s="22"/>
      <c r="IGD44" s="22"/>
      <c r="IGE44" s="22"/>
      <c r="IGF44" s="22"/>
      <c r="IGG44" s="22"/>
      <c r="IGH44" s="22"/>
      <c r="IGI44" s="22"/>
      <c r="IGJ44" s="22"/>
      <c r="IGK44" s="22"/>
      <c r="IGL44" s="22"/>
      <c r="IGM44" s="22"/>
      <c r="IGN44" s="22"/>
      <c r="IGO44" s="22"/>
      <c r="IGP44" s="22"/>
      <c r="IGQ44" s="22"/>
      <c r="IGR44" s="22"/>
      <c r="IGS44" s="22"/>
      <c r="IGT44" s="22"/>
      <c r="IGU44" s="22"/>
      <c r="IGV44" s="22"/>
      <c r="IGW44" s="22"/>
      <c r="IGX44" s="22"/>
      <c r="IGY44" s="22"/>
      <c r="IGZ44" s="22"/>
      <c r="IHA44" s="22"/>
      <c r="IHB44" s="22"/>
      <c r="IHC44" s="22"/>
      <c r="IHD44" s="22"/>
      <c r="IHE44" s="22"/>
      <c r="IHF44" s="22"/>
      <c r="IHG44" s="22"/>
      <c r="IHH44" s="22"/>
      <c r="IHI44" s="22"/>
      <c r="IHJ44" s="22"/>
      <c r="IHK44" s="22"/>
      <c r="IHL44" s="22"/>
      <c r="IHM44" s="22"/>
      <c r="IHN44" s="22"/>
      <c r="IHO44" s="22"/>
      <c r="IHP44" s="22"/>
      <c r="IHQ44" s="22"/>
      <c r="IHR44" s="22"/>
      <c r="IHS44" s="22"/>
      <c r="IHT44" s="22"/>
      <c r="IHU44" s="22"/>
      <c r="IHV44" s="22"/>
      <c r="IHW44" s="22"/>
      <c r="IHX44" s="22"/>
      <c r="IHY44" s="22"/>
      <c r="IHZ44" s="22"/>
      <c r="IIA44" s="22"/>
      <c r="IIB44" s="22"/>
      <c r="IIC44" s="22"/>
      <c r="IID44" s="22"/>
      <c r="IIE44" s="22"/>
      <c r="IIF44" s="22"/>
      <c r="IIG44" s="22"/>
      <c r="IIH44" s="22"/>
      <c r="III44" s="22"/>
      <c r="IIJ44" s="22"/>
      <c r="IIK44" s="22"/>
      <c r="IIL44" s="22"/>
      <c r="IIM44" s="22"/>
      <c r="IIN44" s="22"/>
      <c r="IIO44" s="22"/>
      <c r="IIP44" s="22"/>
      <c r="IIQ44" s="22"/>
      <c r="IIR44" s="22"/>
      <c r="IIS44" s="22"/>
      <c r="IIT44" s="22"/>
      <c r="IIU44" s="22"/>
      <c r="IIV44" s="22"/>
      <c r="IIW44" s="22"/>
      <c r="IIX44" s="22"/>
      <c r="IIY44" s="22"/>
      <c r="IIZ44" s="22"/>
      <c r="IJA44" s="22"/>
      <c r="IJB44" s="22"/>
      <c r="IJC44" s="22"/>
      <c r="IJD44" s="22"/>
      <c r="IJE44" s="22"/>
      <c r="IJF44" s="22"/>
      <c r="IJG44" s="22"/>
      <c r="IJH44" s="22"/>
      <c r="IJI44" s="22"/>
      <c r="IJJ44" s="22"/>
      <c r="IJK44" s="22"/>
      <c r="IJL44" s="22"/>
      <c r="IJM44" s="22"/>
      <c r="IJN44" s="22"/>
      <c r="IJO44" s="22"/>
      <c r="IJP44" s="22"/>
      <c r="IJQ44" s="22"/>
      <c r="IJR44" s="22"/>
      <c r="IJS44" s="22"/>
      <c r="IJT44" s="22"/>
      <c r="IJU44" s="22"/>
      <c r="IJV44" s="22"/>
      <c r="IJW44" s="22"/>
      <c r="IJX44" s="22"/>
      <c r="IJY44" s="22"/>
      <c r="IJZ44" s="22"/>
      <c r="IKA44" s="22"/>
      <c r="IKB44" s="22"/>
      <c r="IKC44" s="22"/>
      <c r="IKD44" s="22"/>
      <c r="IKE44" s="22"/>
      <c r="IKF44" s="22"/>
      <c r="IKG44" s="22"/>
      <c r="IKH44" s="22"/>
      <c r="IKI44" s="22"/>
      <c r="IKJ44" s="22"/>
      <c r="IKK44" s="22"/>
      <c r="IKL44" s="22"/>
      <c r="IKM44" s="22"/>
      <c r="IKN44" s="22"/>
      <c r="IKO44" s="22"/>
      <c r="IKP44" s="22"/>
      <c r="IKQ44" s="22"/>
      <c r="IKR44" s="22"/>
      <c r="IKS44" s="22"/>
      <c r="IKT44" s="22"/>
      <c r="IKU44" s="22"/>
      <c r="IKV44" s="22"/>
      <c r="IKW44" s="22"/>
      <c r="IKX44" s="22"/>
      <c r="IKY44" s="22"/>
      <c r="IKZ44" s="22"/>
      <c r="ILA44" s="22"/>
      <c r="ILB44" s="22"/>
      <c r="ILC44" s="22"/>
      <c r="ILD44" s="22"/>
      <c r="ILE44" s="22"/>
      <c r="ILF44" s="22"/>
      <c r="ILG44" s="22"/>
      <c r="ILH44" s="22"/>
      <c r="ILI44" s="22"/>
      <c r="ILJ44" s="22"/>
      <c r="ILK44" s="22"/>
      <c r="ILL44" s="22"/>
      <c r="ILM44" s="22"/>
      <c r="ILN44" s="22"/>
      <c r="ILO44" s="22"/>
      <c r="ILP44" s="22"/>
      <c r="ILQ44" s="22"/>
      <c r="ILR44" s="22"/>
      <c r="ILS44" s="22"/>
      <c r="ILT44" s="22"/>
      <c r="ILU44" s="22"/>
      <c r="ILV44" s="22"/>
      <c r="ILW44" s="22"/>
      <c r="ILX44" s="22"/>
      <c r="ILY44" s="22"/>
      <c r="ILZ44" s="22"/>
      <c r="IMA44" s="22"/>
      <c r="IMB44" s="22"/>
      <c r="IMC44" s="22"/>
      <c r="IMD44" s="22"/>
      <c r="IME44" s="22"/>
      <c r="IMF44" s="22"/>
      <c r="IMG44" s="22"/>
      <c r="IMH44" s="22"/>
      <c r="IMI44" s="22"/>
      <c r="IMJ44" s="22"/>
      <c r="IMK44" s="22"/>
      <c r="IML44" s="22"/>
      <c r="IMM44" s="22"/>
      <c r="IMN44" s="22"/>
      <c r="IMO44" s="22"/>
      <c r="IMP44" s="22"/>
      <c r="IMQ44" s="22"/>
      <c r="IMR44" s="22"/>
      <c r="IMS44" s="22"/>
      <c r="IMT44" s="22"/>
      <c r="IMU44" s="22"/>
      <c r="IMV44" s="22"/>
      <c r="IMW44" s="22"/>
      <c r="IMX44" s="22"/>
      <c r="IMY44" s="22"/>
      <c r="IMZ44" s="22"/>
      <c r="INA44" s="22"/>
      <c r="INB44" s="22"/>
      <c r="INC44" s="22"/>
      <c r="IND44" s="22"/>
      <c r="INE44" s="22"/>
      <c r="INF44" s="22"/>
      <c r="ING44" s="22"/>
      <c r="INH44" s="22"/>
      <c r="INI44" s="22"/>
      <c r="INJ44" s="22"/>
      <c r="INK44" s="22"/>
      <c r="INL44" s="22"/>
      <c r="INM44" s="22"/>
      <c r="INN44" s="22"/>
      <c r="INO44" s="22"/>
      <c r="INP44" s="22"/>
      <c r="INQ44" s="22"/>
      <c r="INR44" s="22"/>
      <c r="INS44" s="22"/>
      <c r="INT44" s="22"/>
      <c r="INU44" s="22"/>
      <c r="INV44" s="22"/>
      <c r="INW44" s="22"/>
      <c r="INX44" s="22"/>
      <c r="INY44" s="22"/>
      <c r="INZ44" s="22"/>
      <c r="IOA44" s="22"/>
      <c r="IOB44" s="22"/>
      <c r="IOC44" s="22"/>
      <c r="IOD44" s="22"/>
      <c r="IOE44" s="22"/>
      <c r="IOF44" s="22"/>
      <c r="IOG44" s="22"/>
      <c r="IOH44" s="22"/>
      <c r="IOI44" s="22"/>
      <c r="IOJ44" s="22"/>
      <c r="IOK44" s="22"/>
      <c r="IOL44" s="22"/>
      <c r="IOM44" s="22"/>
      <c r="ION44" s="22"/>
      <c r="IOO44" s="22"/>
      <c r="IOP44" s="22"/>
      <c r="IOQ44" s="22"/>
      <c r="IOR44" s="22"/>
      <c r="IOS44" s="22"/>
      <c r="IOT44" s="22"/>
      <c r="IOU44" s="22"/>
      <c r="IOV44" s="22"/>
      <c r="IOW44" s="22"/>
      <c r="IOX44" s="22"/>
      <c r="IOY44" s="22"/>
      <c r="IOZ44" s="22"/>
      <c r="IPA44" s="22"/>
      <c r="IPB44" s="22"/>
      <c r="IPC44" s="22"/>
      <c r="IPD44" s="22"/>
      <c r="IPE44" s="22"/>
      <c r="IPF44" s="22"/>
      <c r="IPG44" s="22"/>
      <c r="IPH44" s="22"/>
      <c r="IPI44" s="22"/>
      <c r="IPJ44" s="22"/>
      <c r="IPK44" s="22"/>
      <c r="IPL44" s="22"/>
      <c r="IPM44" s="22"/>
      <c r="IPN44" s="22"/>
      <c r="IPO44" s="22"/>
      <c r="IPP44" s="22"/>
      <c r="IPQ44" s="22"/>
      <c r="IPR44" s="22"/>
      <c r="IPS44" s="22"/>
      <c r="IPT44" s="22"/>
      <c r="IPU44" s="22"/>
      <c r="IPV44" s="22"/>
      <c r="IPW44" s="22"/>
      <c r="IPX44" s="22"/>
      <c r="IPY44" s="22"/>
      <c r="IPZ44" s="22"/>
      <c r="IQA44" s="22"/>
      <c r="IQB44" s="22"/>
      <c r="IQC44" s="22"/>
      <c r="IQD44" s="22"/>
      <c r="IQE44" s="22"/>
      <c r="IQF44" s="22"/>
      <c r="IQG44" s="22"/>
      <c r="IQH44" s="22"/>
      <c r="IQI44" s="22"/>
      <c r="IQJ44" s="22"/>
      <c r="IQK44" s="22"/>
      <c r="IQL44" s="22"/>
      <c r="IQM44" s="22"/>
      <c r="IQN44" s="22"/>
      <c r="IQO44" s="22"/>
      <c r="IQP44" s="22"/>
      <c r="IQQ44" s="22"/>
      <c r="IQR44" s="22"/>
      <c r="IQS44" s="22"/>
      <c r="IQT44" s="22"/>
      <c r="IQU44" s="22"/>
      <c r="IQV44" s="22"/>
      <c r="IQW44" s="22"/>
      <c r="IQX44" s="22"/>
      <c r="IQY44" s="22"/>
      <c r="IQZ44" s="22"/>
      <c r="IRA44" s="22"/>
      <c r="IRB44" s="22"/>
      <c r="IRC44" s="22"/>
      <c r="IRD44" s="22"/>
      <c r="IRE44" s="22"/>
      <c r="IRF44" s="22"/>
      <c r="IRG44" s="22"/>
      <c r="IRH44" s="22"/>
      <c r="IRI44" s="22"/>
      <c r="IRJ44" s="22"/>
      <c r="IRK44" s="22"/>
      <c r="IRL44" s="22"/>
      <c r="IRM44" s="22"/>
      <c r="IRN44" s="22"/>
      <c r="IRO44" s="22"/>
      <c r="IRP44" s="22"/>
      <c r="IRQ44" s="22"/>
      <c r="IRR44" s="22"/>
      <c r="IRS44" s="22"/>
      <c r="IRT44" s="22"/>
      <c r="IRU44" s="22"/>
      <c r="IRV44" s="22"/>
      <c r="IRW44" s="22"/>
      <c r="IRX44" s="22"/>
      <c r="IRY44" s="22"/>
      <c r="IRZ44" s="22"/>
      <c r="ISA44" s="22"/>
      <c r="ISB44" s="22"/>
      <c r="ISC44" s="22"/>
      <c r="ISD44" s="22"/>
      <c r="ISE44" s="22"/>
      <c r="ISF44" s="22"/>
      <c r="ISG44" s="22"/>
      <c r="ISH44" s="22"/>
      <c r="ISI44" s="22"/>
      <c r="ISJ44" s="22"/>
      <c r="ISK44" s="22"/>
      <c r="ISL44" s="22"/>
      <c r="ISM44" s="22"/>
      <c r="ISN44" s="22"/>
      <c r="ISO44" s="22"/>
      <c r="ISP44" s="22"/>
      <c r="ISQ44" s="22"/>
      <c r="ISR44" s="22"/>
      <c r="ISS44" s="22"/>
      <c r="IST44" s="22"/>
      <c r="ISU44" s="22"/>
      <c r="ISV44" s="22"/>
      <c r="ISW44" s="22"/>
      <c r="ISX44" s="22"/>
      <c r="ISY44" s="22"/>
      <c r="ISZ44" s="22"/>
      <c r="ITA44" s="22"/>
      <c r="ITB44" s="22"/>
      <c r="ITC44" s="22"/>
      <c r="ITD44" s="22"/>
      <c r="ITE44" s="22"/>
      <c r="ITF44" s="22"/>
      <c r="ITG44" s="22"/>
      <c r="ITH44" s="22"/>
      <c r="ITI44" s="22"/>
      <c r="ITJ44" s="22"/>
      <c r="ITK44" s="22"/>
      <c r="ITL44" s="22"/>
      <c r="ITM44" s="22"/>
      <c r="ITN44" s="22"/>
      <c r="ITO44" s="22"/>
      <c r="ITP44" s="22"/>
      <c r="ITQ44" s="22"/>
      <c r="ITR44" s="22"/>
      <c r="ITS44" s="22"/>
      <c r="ITT44" s="22"/>
      <c r="ITU44" s="22"/>
      <c r="ITV44" s="22"/>
      <c r="ITW44" s="22"/>
      <c r="ITX44" s="22"/>
      <c r="ITY44" s="22"/>
      <c r="ITZ44" s="22"/>
      <c r="IUA44" s="22"/>
      <c r="IUB44" s="22"/>
      <c r="IUC44" s="22"/>
      <c r="IUD44" s="22"/>
      <c r="IUE44" s="22"/>
      <c r="IUF44" s="22"/>
      <c r="IUG44" s="22"/>
      <c r="IUH44" s="22"/>
      <c r="IUI44" s="22"/>
      <c r="IUJ44" s="22"/>
      <c r="IUK44" s="22"/>
      <c r="IUL44" s="22"/>
      <c r="IUM44" s="22"/>
      <c r="IUN44" s="22"/>
      <c r="IUO44" s="22"/>
      <c r="IUP44" s="22"/>
      <c r="IUQ44" s="22"/>
      <c r="IUR44" s="22"/>
      <c r="IUS44" s="22"/>
      <c r="IUT44" s="22"/>
      <c r="IUU44" s="22"/>
      <c r="IUV44" s="22"/>
      <c r="IUW44" s="22"/>
      <c r="IUX44" s="22"/>
      <c r="IUY44" s="22"/>
      <c r="IUZ44" s="22"/>
      <c r="IVA44" s="22"/>
      <c r="IVB44" s="22"/>
      <c r="IVC44" s="22"/>
      <c r="IVD44" s="22"/>
      <c r="IVE44" s="22"/>
      <c r="IVF44" s="22"/>
      <c r="IVG44" s="22"/>
      <c r="IVH44" s="22"/>
      <c r="IVI44" s="22"/>
      <c r="IVJ44" s="22"/>
      <c r="IVK44" s="22"/>
      <c r="IVL44" s="22"/>
      <c r="IVM44" s="22"/>
      <c r="IVN44" s="22"/>
      <c r="IVO44" s="22"/>
      <c r="IVP44" s="22"/>
      <c r="IVQ44" s="22"/>
      <c r="IVR44" s="22"/>
      <c r="IVS44" s="22"/>
      <c r="IVT44" s="22"/>
      <c r="IVU44" s="22"/>
      <c r="IVV44" s="22"/>
      <c r="IVW44" s="22"/>
      <c r="IVX44" s="22"/>
      <c r="IVY44" s="22"/>
      <c r="IVZ44" s="22"/>
      <c r="IWA44" s="22"/>
      <c r="IWB44" s="22"/>
      <c r="IWC44" s="22"/>
      <c r="IWD44" s="22"/>
      <c r="IWE44" s="22"/>
      <c r="IWF44" s="22"/>
      <c r="IWG44" s="22"/>
      <c r="IWH44" s="22"/>
      <c r="IWI44" s="22"/>
      <c r="IWJ44" s="22"/>
      <c r="IWK44" s="22"/>
      <c r="IWL44" s="22"/>
      <c r="IWM44" s="22"/>
      <c r="IWN44" s="22"/>
      <c r="IWO44" s="22"/>
      <c r="IWP44" s="22"/>
      <c r="IWQ44" s="22"/>
      <c r="IWR44" s="22"/>
      <c r="IWS44" s="22"/>
      <c r="IWT44" s="22"/>
      <c r="IWU44" s="22"/>
      <c r="IWV44" s="22"/>
      <c r="IWW44" s="22"/>
      <c r="IWX44" s="22"/>
      <c r="IWY44" s="22"/>
      <c r="IWZ44" s="22"/>
      <c r="IXA44" s="22"/>
      <c r="IXB44" s="22"/>
      <c r="IXC44" s="22"/>
      <c r="IXD44" s="22"/>
      <c r="IXE44" s="22"/>
      <c r="IXF44" s="22"/>
      <c r="IXG44" s="22"/>
      <c r="IXH44" s="22"/>
      <c r="IXI44" s="22"/>
      <c r="IXJ44" s="22"/>
      <c r="IXK44" s="22"/>
      <c r="IXL44" s="22"/>
      <c r="IXM44" s="22"/>
      <c r="IXN44" s="22"/>
      <c r="IXO44" s="22"/>
      <c r="IXP44" s="22"/>
      <c r="IXQ44" s="22"/>
      <c r="IXR44" s="22"/>
      <c r="IXS44" s="22"/>
      <c r="IXT44" s="22"/>
      <c r="IXU44" s="22"/>
      <c r="IXV44" s="22"/>
      <c r="IXW44" s="22"/>
      <c r="IXX44" s="22"/>
      <c r="IXY44" s="22"/>
      <c r="IXZ44" s="22"/>
      <c r="IYA44" s="22"/>
      <c r="IYB44" s="22"/>
      <c r="IYC44" s="22"/>
      <c r="IYD44" s="22"/>
      <c r="IYE44" s="22"/>
      <c r="IYF44" s="22"/>
      <c r="IYG44" s="22"/>
      <c r="IYH44" s="22"/>
      <c r="IYI44" s="22"/>
      <c r="IYJ44" s="22"/>
      <c r="IYK44" s="22"/>
      <c r="IYL44" s="22"/>
      <c r="IYM44" s="22"/>
      <c r="IYN44" s="22"/>
      <c r="IYO44" s="22"/>
      <c r="IYP44" s="22"/>
      <c r="IYQ44" s="22"/>
      <c r="IYR44" s="22"/>
      <c r="IYS44" s="22"/>
      <c r="IYT44" s="22"/>
      <c r="IYU44" s="22"/>
      <c r="IYV44" s="22"/>
      <c r="IYW44" s="22"/>
      <c r="IYX44" s="22"/>
      <c r="IYY44" s="22"/>
      <c r="IYZ44" s="22"/>
      <c r="IZA44" s="22"/>
      <c r="IZB44" s="22"/>
      <c r="IZC44" s="22"/>
      <c r="IZD44" s="22"/>
      <c r="IZE44" s="22"/>
      <c r="IZF44" s="22"/>
      <c r="IZG44" s="22"/>
      <c r="IZH44" s="22"/>
      <c r="IZI44" s="22"/>
      <c r="IZJ44" s="22"/>
      <c r="IZK44" s="22"/>
      <c r="IZL44" s="22"/>
      <c r="IZM44" s="22"/>
      <c r="IZN44" s="22"/>
      <c r="IZO44" s="22"/>
      <c r="IZP44" s="22"/>
      <c r="IZQ44" s="22"/>
      <c r="IZR44" s="22"/>
      <c r="IZS44" s="22"/>
      <c r="IZT44" s="22"/>
      <c r="IZU44" s="22"/>
      <c r="IZV44" s="22"/>
      <c r="IZW44" s="22"/>
      <c r="IZX44" s="22"/>
      <c r="IZY44" s="22"/>
      <c r="IZZ44" s="22"/>
      <c r="JAA44" s="22"/>
      <c r="JAB44" s="22"/>
      <c r="JAC44" s="22"/>
      <c r="JAD44" s="22"/>
      <c r="JAE44" s="22"/>
      <c r="JAF44" s="22"/>
      <c r="JAG44" s="22"/>
      <c r="JAH44" s="22"/>
      <c r="JAI44" s="22"/>
      <c r="JAJ44" s="22"/>
      <c r="JAK44" s="22"/>
      <c r="JAL44" s="22"/>
      <c r="JAM44" s="22"/>
      <c r="JAN44" s="22"/>
      <c r="JAO44" s="22"/>
      <c r="JAP44" s="22"/>
      <c r="JAQ44" s="22"/>
      <c r="JAR44" s="22"/>
      <c r="JAS44" s="22"/>
      <c r="JAT44" s="22"/>
      <c r="JAU44" s="22"/>
      <c r="JAV44" s="22"/>
      <c r="JAW44" s="22"/>
      <c r="JAX44" s="22"/>
      <c r="JAY44" s="22"/>
      <c r="JAZ44" s="22"/>
      <c r="JBA44" s="22"/>
      <c r="JBB44" s="22"/>
      <c r="JBC44" s="22"/>
      <c r="JBD44" s="22"/>
      <c r="JBE44" s="22"/>
      <c r="JBF44" s="22"/>
      <c r="JBG44" s="22"/>
      <c r="JBH44" s="22"/>
      <c r="JBI44" s="22"/>
      <c r="JBJ44" s="22"/>
      <c r="JBK44" s="22"/>
      <c r="JBL44" s="22"/>
      <c r="JBM44" s="22"/>
      <c r="JBN44" s="22"/>
      <c r="JBO44" s="22"/>
      <c r="JBP44" s="22"/>
      <c r="JBQ44" s="22"/>
      <c r="JBR44" s="22"/>
      <c r="JBS44" s="22"/>
      <c r="JBT44" s="22"/>
      <c r="JBU44" s="22"/>
      <c r="JBV44" s="22"/>
      <c r="JBW44" s="22"/>
      <c r="JBX44" s="22"/>
      <c r="JBY44" s="22"/>
      <c r="JBZ44" s="22"/>
      <c r="JCA44" s="22"/>
      <c r="JCB44" s="22"/>
      <c r="JCC44" s="22"/>
      <c r="JCD44" s="22"/>
      <c r="JCE44" s="22"/>
      <c r="JCF44" s="22"/>
      <c r="JCG44" s="22"/>
      <c r="JCH44" s="22"/>
      <c r="JCI44" s="22"/>
      <c r="JCJ44" s="22"/>
      <c r="JCK44" s="22"/>
      <c r="JCL44" s="22"/>
      <c r="JCM44" s="22"/>
      <c r="JCN44" s="22"/>
      <c r="JCO44" s="22"/>
      <c r="JCP44" s="22"/>
      <c r="JCQ44" s="22"/>
      <c r="JCR44" s="22"/>
      <c r="JCS44" s="22"/>
      <c r="JCT44" s="22"/>
      <c r="JCU44" s="22"/>
      <c r="JCV44" s="22"/>
      <c r="JCW44" s="22"/>
      <c r="JCX44" s="22"/>
      <c r="JCY44" s="22"/>
      <c r="JCZ44" s="22"/>
      <c r="JDA44" s="22"/>
      <c r="JDB44" s="22"/>
      <c r="JDC44" s="22"/>
      <c r="JDD44" s="22"/>
      <c r="JDE44" s="22"/>
      <c r="JDF44" s="22"/>
      <c r="JDG44" s="22"/>
      <c r="JDH44" s="22"/>
      <c r="JDI44" s="22"/>
      <c r="JDJ44" s="22"/>
      <c r="JDK44" s="22"/>
      <c r="JDL44" s="22"/>
      <c r="JDM44" s="22"/>
      <c r="JDN44" s="22"/>
      <c r="JDO44" s="22"/>
      <c r="JDP44" s="22"/>
      <c r="JDQ44" s="22"/>
      <c r="JDR44" s="22"/>
      <c r="JDS44" s="22"/>
      <c r="JDT44" s="22"/>
      <c r="JDU44" s="22"/>
      <c r="JDV44" s="22"/>
      <c r="JDW44" s="22"/>
      <c r="JDX44" s="22"/>
      <c r="JDY44" s="22"/>
      <c r="JDZ44" s="22"/>
      <c r="JEA44" s="22"/>
      <c r="JEB44" s="22"/>
      <c r="JEC44" s="22"/>
      <c r="JED44" s="22"/>
      <c r="JEE44" s="22"/>
      <c r="JEF44" s="22"/>
      <c r="JEG44" s="22"/>
      <c r="JEH44" s="22"/>
      <c r="JEI44" s="22"/>
      <c r="JEJ44" s="22"/>
      <c r="JEK44" s="22"/>
      <c r="JEL44" s="22"/>
      <c r="JEM44" s="22"/>
      <c r="JEN44" s="22"/>
      <c r="JEO44" s="22"/>
      <c r="JEP44" s="22"/>
      <c r="JEQ44" s="22"/>
      <c r="JER44" s="22"/>
      <c r="JES44" s="22"/>
      <c r="JET44" s="22"/>
      <c r="JEU44" s="22"/>
      <c r="JEV44" s="22"/>
      <c r="JEW44" s="22"/>
      <c r="JEX44" s="22"/>
      <c r="JEY44" s="22"/>
      <c r="JEZ44" s="22"/>
      <c r="JFA44" s="22"/>
      <c r="JFB44" s="22"/>
      <c r="JFC44" s="22"/>
      <c r="JFD44" s="22"/>
      <c r="JFE44" s="22"/>
      <c r="JFF44" s="22"/>
      <c r="JFG44" s="22"/>
      <c r="JFH44" s="22"/>
      <c r="JFI44" s="22"/>
      <c r="JFJ44" s="22"/>
      <c r="JFK44" s="22"/>
      <c r="JFL44" s="22"/>
      <c r="JFM44" s="22"/>
      <c r="JFN44" s="22"/>
      <c r="JFO44" s="22"/>
      <c r="JFP44" s="22"/>
      <c r="JFQ44" s="22"/>
      <c r="JFR44" s="22"/>
      <c r="JFS44" s="22"/>
      <c r="JFT44" s="22"/>
      <c r="JFU44" s="22"/>
      <c r="JFV44" s="22"/>
      <c r="JFW44" s="22"/>
      <c r="JFX44" s="22"/>
      <c r="JFY44" s="22"/>
      <c r="JFZ44" s="22"/>
      <c r="JGA44" s="22"/>
      <c r="JGB44" s="22"/>
      <c r="JGC44" s="22"/>
      <c r="JGD44" s="22"/>
      <c r="JGE44" s="22"/>
      <c r="JGF44" s="22"/>
      <c r="JGG44" s="22"/>
      <c r="JGH44" s="22"/>
      <c r="JGI44" s="22"/>
      <c r="JGJ44" s="22"/>
      <c r="JGK44" s="22"/>
      <c r="JGL44" s="22"/>
      <c r="JGM44" s="22"/>
      <c r="JGN44" s="22"/>
      <c r="JGO44" s="22"/>
      <c r="JGP44" s="22"/>
      <c r="JGQ44" s="22"/>
      <c r="JGR44" s="22"/>
      <c r="JGS44" s="22"/>
      <c r="JGT44" s="22"/>
      <c r="JGU44" s="22"/>
      <c r="JGV44" s="22"/>
      <c r="JGW44" s="22"/>
      <c r="JGX44" s="22"/>
      <c r="JGY44" s="22"/>
      <c r="JGZ44" s="22"/>
      <c r="JHA44" s="22"/>
      <c r="JHB44" s="22"/>
      <c r="JHC44" s="22"/>
      <c r="JHD44" s="22"/>
      <c r="JHE44" s="22"/>
      <c r="JHF44" s="22"/>
      <c r="JHG44" s="22"/>
      <c r="JHH44" s="22"/>
      <c r="JHI44" s="22"/>
      <c r="JHJ44" s="22"/>
      <c r="JHK44" s="22"/>
      <c r="JHL44" s="22"/>
      <c r="JHM44" s="22"/>
      <c r="JHN44" s="22"/>
      <c r="JHO44" s="22"/>
      <c r="JHP44" s="22"/>
      <c r="JHQ44" s="22"/>
      <c r="JHR44" s="22"/>
      <c r="JHS44" s="22"/>
      <c r="JHT44" s="22"/>
      <c r="JHU44" s="22"/>
      <c r="JHV44" s="22"/>
      <c r="JHW44" s="22"/>
      <c r="JHX44" s="22"/>
      <c r="JHY44" s="22"/>
      <c r="JHZ44" s="22"/>
      <c r="JIA44" s="22"/>
      <c r="JIB44" s="22"/>
      <c r="JIC44" s="22"/>
      <c r="JID44" s="22"/>
      <c r="JIE44" s="22"/>
      <c r="JIF44" s="22"/>
      <c r="JIG44" s="22"/>
      <c r="JIH44" s="22"/>
      <c r="JII44" s="22"/>
      <c r="JIJ44" s="22"/>
      <c r="JIK44" s="22"/>
      <c r="JIL44" s="22"/>
      <c r="JIM44" s="22"/>
      <c r="JIN44" s="22"/>
      <c r="JIO44" s="22"/>
      <c r="JIP44" s="22"/>
      <c r="JIQ44" s="22"/>
      <c r="JIR44" s="22"/>
      <c r="JIS44" s="22"/>
      <c r="JIT44" s="22"/>
      <c r="JIU44" s="22"/>
      <c r="JIV44" s="22"/>
      <c r="JIW44" s="22"/>
      <c r="JIX44" s="22"/>
      <c r="JIY44" s="22"/>
      <c r="JIZ44" s="22"/>
      <c r="JJA44" s="22"/>
      <c r="JJB44" s="22"/>
      <c r="JJC44" s="22"/>
      <c r="JJD44" s="22"/>
      <c r="JJE44" s="22"/>
      <c r="JJF44" s="22"/>
      <c r="JJG44" s="22"/>
      <c r="JJH44" s="22"/>
      <c r="JJI44" s="22"/>
      <c r="JJJ44" s="22"/>
      <c r="JJK44" s="22"/>
      <c r="JJL44" s="22"/>
      <c r="JJM44" s="22"/>
      <c r="JJN44" s="22"/>
      <c r="JJO44" s="22"/>
      <c r="JJP44" s="22"/>
      <c r="JJQ44" s="22"/>
      <c r="JJR44" s="22"/>
      <c r="JJS44" s="22"/>
      <c r="JJT44" s="22"/>
      <c r="JJU44" s="22"/>
      <c r="JJV44" s="22"/>
      <c r="JJW44" s="22"/>
      <c r="JJX44" s="22"/>
      <c r="JJY44" s="22"/>
      <c r="JJZ44" s="22"/>
      <c r="JKA44" s="22"/>
      <c r="JKB44" s="22"/>
      <c r="JKC44" s="22"/>
      <c r="JKD44" s="22"/>
      <c r="JKE44" s="22"/>
      <c r="JKF44" s="22"/>
      <c r="JKG44" s="22"/>
      <c r="JKH44" s="22"/>
      <c r="JKI44" s="22"/>
      <c r="JKJ44" s="22"/>
      <c r="JKK44" s="22"/>
      <c r="JKL44" s="22"/>
      <c r="JKM44" s="22"/>
      <c r="JKN44" s="22"/>
      <c r="JKO44" s="22"/>
      <c r="JKP44" s="22"/>
      <c r="JKQ44" s="22"/>
      <c r="JKR44" s="22"/>
      <c r="JKS44" s="22"/>
      <c r="JKT44" s="22"/>
      <c r="JKU44" s="22"/>
      <c r="JKV44" s="22"/>
      <c r="JKW44" s="22"/>
      <c r="JKX44" s="22"/>
      <c r="JKY44" s="22"/>
      <c r="JKZ44" s="22"/>
      <c r="JLA44" s="22"/>
      <c r="JLB44" s="22"/>
      <c r="JLC44" s="22"/>
      <c r="JLD44" s="22"/>
      <c r="JLE44" s="22"/>
      <c r="JLF44" s="22"/>
      <c r="JLG44" s="22"/>
      <c r="JLH44" s="22"/>
      <c r="JLI44" s="22"/>
      <c r="JLJ44" s="22"/>
      <c r="JLK44" s="22"/>
      <c r="JLL44" s="22"/>
      <c r="JLM44" s="22"/>
      <c r="JLN44" s="22"/>
      <c r="JLO44" s="22"/>
      <c r="JLP44" s="22"/>
      <c r="JLQ44" s="22"/>
      <c r="JLR44" s="22"/>
      <c r="JLS44" s="22"/>
      <c r="JLT44" s="22"/>
      <c r="JLU44" s="22"/>
      <c r="JLV44" s="22"/>
      <c r="JLW44" s="22"/>
      <c r="JLX44" s="22"/>
      <c r="JLY44" s="22"/>
      <c r="JLZ44" s="22"/>
      <c r="JMA44" s="22"/>
      <c r="JMB44" s="22"/>
      <c r="JMC44" s="22"/>
      <c r="JMD44" s="22"/>
      <c r="JME44" s="22"/>
      <c r="JMF44" s="22"/>
      <c r="JMG44" s="22"/>
      <c r="JMH44" s="22"/>
      <c r="JMI44" s="22"/>
      <c r="JMJ44" s="22"/>
      <c r="JMK44" s="22"/>
      <c r="JML44" s="22"/>
      <c r="JMM44" s="22"/>
      <c r="JMN44" s="22"/>
      <c r="JMO44" s="22"/>
      <c r="JMP44" s="22"/>
      <c r="JMQ44" s="22"/>
      <c r="JMR44" s="22"/>
      <c r="JMS44" s="22"/>
      <c r="JMT44" s="22"/>
      <c r="JMU44" s="22"/>
      <c r="JMV44" s="22"/>
      <c r="JMW44" s="22"/>
      <c r="JMX44" s="22"/>
      <c r="JMY44" s="22"/>
      <c r="JMZ44" s="22"/>
      <c r="JNA44" s="22"/>
      <c r="JNB44" s="22"/>
      <c r="JNC44" s="22"/>
      <c r="JND44" s="22"/>
      <c r="JNE44" s="22"/>
      <c r="JNF44" s="22"/>
      <c r="JNG44" s="22"/>
      <c r="JNH44" s="22"/>
      <c r="JNI44" s="22"/>
      <c r="JNJ44" s="22"/>
      <c r="JNK44" s="22"/>
      <c r="JNL44" s="22"/>
      <c r="JNM44" s="22"/>
      <c r="JNN44" s="22"/>
      <c r="JNO44" s="22"/>
      <c r="JNP44" s="22"/>
      <c r="JNQ44" s="22"/>
      <c r="JNR44" s="22"/>
      <c r="JNS44" s="22"/>
      <c r="JNT44" s="22"/>
      <c r="JNU44" s="22"/>
      <c r="JNV44" s="22"/>
      <c r="JNW44" s="22"/>
      <c r="JNX44" s="22"/>
      <c r="JNY44" s="22"/>
      <c r="JNZ44" s="22"/>
      <c r="JOA44" s="22"/>
      <c r="JOB44" s="22"/>
      <c r="JOC44" s="22"/>
      <c r="JOD44" s="22"/>
      <c r="JOE44" s="22"/>
      <c r="JOF44" s="22"/>
      <c r="JOG44" s="22"/>
      <c r="JOH44" s="22"/>
      <c r="JOI44" s="22"/>
      <c r="JOJ44" s="22"/>
      <c r="JOK44" s="22"/>
      <c r="JOL44" s="22"/>
      <c r="JOM44" s="22"/>
      <c r="JON44" s="22"/>
      <c r="JOO44" s="22"/>
      <c r="JOP44" s="22"/>
      <c r="JOQ44" s="22"/>
      <c r="JOR44" s="22"/>
      <c r="JOS44" s="22"/>
      <c r="JOT44" s="22"/>
      <c r="JOU44" s="22"/>
      <c r="JOV44" s="22"/>
      <c r="JOW44" s="22"/>
      <c r="JOX44" s="22"/>
      <c r="JOY44" s="22"/>
      <c r="JOZ44" s="22"/>
      <c r="JPA44" s="22"/>
      <c r="JPB44" s="22"/>
      <c r="JPC44" s="22"/>
      <c r="JPD44" s="22"/>
      <c r="JPE44" s="22"/>
      <c r="JPF44" s="22"/>
      <c r="JPG44" s="22"/>
      <c r="JPH44" s="22"/>
      <c r="JPI44" s="22"/>
      <c r="JPJ44" s="22"/>
      <c r="JPK44" s="22"/>
      <c r="JPL44" s="22"/>
      <c r="JPM44" s="22"/>
      <c r="JPN44" s="22"/>
      <c r="JPO44" s="22"/>
      <c r="JPP44" s="22"/>
      <c r="JPQ44" s="22"/>
      <c r="JPR44" s="22"/>
      <c r="JPS44" s="22"/>
      <c r="JPT44" s="22"/>
      <c r="JPU44" s="22"/>
      <c r="JPV44" s="22"/>
      <c r="JPW44" s="22"/>
      <c r="JPX44" s="22"/>
      <c r="JPY44" s="22"/>
      <c r="JPZ44" s="22"/>
      <c r="JQA44" s="22"/>
      <c r="JQB44" s="22"/>
      <c r="JQC44" s="22"/>
      <c r="JQD44" s="22"/>
      <c r="JQE44" s="22"/>
      <c r="JQF44" s="22"/>
      <c r="JQG44" s="22"/>
      <c r="JQH44" s="22"/>
      <c r="JQI44" s="22"/>
      <c r="JQJ44" s="22"/>
      <c r="JQK44" s="22"/>
      <c r="JQL44" s="22"/>
      <c r="JQM44" s="22"/>
      <c r="JQN44" s="22"/>
      <c r="JQO44" s="22"/>
      <c r="JQP44" s="22"/>
      <c r="JQQ44" s="22"/>
      <c r="JQR44" s="22"/>
      <c r="JQS44" s="22"/>
      <c r="JQT44" s="22"/>
      <c r="JQU44" s="22"/>
      <c r="JQV44" s="22"/>
      <c r="JQW44" s="22"/>
      <c r="JQX44" s="22"/>
      <c r="JQY44" s="22"/>
      <c r="JQZ44" s="22"/>
      <c r="JRA44" s="22"/>
      <c r="JRB44" s="22"/>
      <c r="JRC44" s="22"/>
      <c r="JRD44" s="22"/>
      <c r="JRE44" s="22"/>
      <c r="JRF44" s="22"/>
      <c r="JRG44" s="22"/>
      <c r="JRH44" s="22"/>
      <c r="JRI44" s="22"/>
      <c r="JRJ44" s="22"/>
      <c r="JRK44" s="22"/>
      <c r="JRL44" s="22"/>
      <c r="JRM44" s="22"/>
      <c r="JRN44" s="22"/>
      <c r="JRO44" s="22"/>
      <c r="JRP44" s="22"/>
      <c r="JRQ44" s="22"/>
      <c r="JRR44" s="22"/>
      <c r="JRS44" s="22"/>
      <c r="JRT44" s="22"/>
      <c r="JRU44" s="22"/>
      <c r="JRV44" s="22"/>
      <c r="JRW44" s="22"/>
      <c r="JRX44" s="22"/>
      <c r="JRY44" s="22"/>
      <c r="JRZ44" s="22"/>
      <c r="JSA44" s="22"/>
      <c r="JSB44" s="22"/>
      <c r="JSC44" s="22"/>
      <c r="JSD44" s="22"/>
      <c r="JSE44" s="22"/>
      <c r="JSF44" s="22"/>
      <c r="JSG44" s="22"/>
      <c r="JSH44" s="22"/>
      <c r="JSI44" s="22"/>
      <c r="JSJ44" s="22"/>
      <c r="JSK44" s="22"/>
      <c r="JSL44" s="22"/>
      <c r="JSM44" s="22"/>
      <c r="JSN44" s="22"/>
      <c r="JSO44" s="22"/>
      <c r="JSP44" s="22"/>
      <c r="JSQ44" s="22"/>
      <c r="JSR44" s="22"/>
      <c r="JSS44" s="22"/>
      <c r="JST44" s="22"/>
      <c r="JSU44" s="22"/>
      <c r="JSV44" s="22"/>
      <c r="JSW44" s="22"/>
      <c r="JSX44" s="22"/>
      <c r="JSY44" s="22"/>
      <c r="JSZ44" s="22"/>
      <c r="JTA44" s="22"/>
      <c r="JTB44" s="22"/>
      <c r="JTC44" s="22"/>
      <c r="JTD44" s="22"/>
      <c r="JTE44" s="22"/>
      <c r="JTF44" s="22"/>
      <c r="JTG44" s="22"/>
      <c r="JTH44" s="22"/>
      <c r="JTI44" s="22"/>
      <c r="JTJ44" s="22"/>
      <c r="JTK44" s="22"/>
      <c r="JTL44" s="22"/>
      <c r="JTM44" s="22"/>
      <c r="JTN44" s="22"/>
      <c r="JTO44" s="22"/>
      <c r="JTP44" s="22"/>
      <c r="JTQ44" s="22"/>
      <c r="JTR44" s="22"/>
      <c r="JTS44" s="22"/>
      <c r="JTT44" s="22"/>
      <c r="JTU44" s="22"/>
      <c r="JTV44" s="22"/>
      <c r="JTW44" s="22"/>
      <c r="JTX44" s="22"/>
      <c r="JTY44" s="22"/>
      <c r="JTZ44" s="22"/>
      <c r="JUA44" s="22"/>
      <c r="JUB44" s="22"/>
      <c r="JUC44" s="22"/>
      <c r="JUD44" s="22"/>
      <c r="JUE44" s="22"/>
      <c r="JUF44" s="22"/>
      <c r="JUG44" s="22"/>
      <c r="JUH44" s="22"/>
      <c r="JUI44" s="22"/>
      <c r="JUJ44" s="22"/>
      <c r="JUK44" s="22"/>
      <c r="JUL44" s="22"/>
      <c r="JUM44" s="22"/>
      <c r="JUN44" s="22"/>
      <c r="JUO44" s="22"/>
      <c r="JUP44" s="22"/>
      <c r="JUQ44" s="22"/>
      <c r="JUR44" s="22"/>
      <c r="JUS44" s="22"/>
      <c r="JUT44" s="22"/>
      <c r="JUU44" s="22"/>
      <c r="JUV44" s="22"/>
      <c r="JUW44" s="22"/>
      <c r="JUX44" s="22"/>
      <c r="JUY44" s="22"/>
      <c r="JUZ44" s="22"/>
      <c r="JVA44" s="22"/>
      <c r="JVB44" s="22"/>
      <c r="JVC44" s="22"/>
      <c r="JVD44" s="22"/>
      <c r="JVE44" s="22"/>
      <c r="JVF44" s="22"/>
      <c r="JVG44" s="22"/>
      <c r="JVH44" s="22"/>
      <c r="JVI44" s="22"/>
      <c r="JVJ44" s="22"/>
      <c r="JVK44" s="22"/>
      <c r="JVL44" s="22"/>
      <c r="JVM44" s="22"/>
      <c r="JVN44" s="22"/>
      <c r="JVO44" s="22"/>
      <c r="JVP44" s="22"/>
      <c r="JVQ44" s="22"/>
      <c r="JVR44" s="22"/>
      <c r="JVS44" s="22"/>
      <c r="JVT44" s="22"/>
      <c r="JVU44" s="22"/>
      <c r="JVV44" s="22"/>
      <c r="JVW44" s="22"/>
      <c r="JVX44" s="22"/>
      <c r="JVY44" s="22"/>
      <c r="JVZ44" s="22"/>
      <c r="JWA44" s="22"/>
      <c r="JWB44" s="22"/>
      <c r="JWC44" s="22"/>
      <c r="JWD44" s="22"/>
      <c r="JWE44" s="22"/>
      <c r="JWF44" s="22"/>
      <c r="JWG44" s="22"/>
      <c r="JWH44" s="22"/>
      <c r="JWI44" s="22"/>
      <c r="JWJ44" s="22"/>
      <c r="JWK44" s="22"/>
      <c r="JWL44" s="22"/>
      <c r="JWM44" s="22"/>
      <c r="JWN44" s="22"/>
      <c r="JWO44" s="22"/>
      <c r="JWP44" s="22"/>
      <c r="JWQ44" s="22"/>
      <c r="JWR44" s="22"/>
      <c r="JWS44" s="22"/>
      <c r="JWT44" s="22"/>
      <c r="JWU44" s="22"/>
      <c r="JWV44" s="22"/>
      <c r="JWW44" s="22"/>
      <c r="JWX44" s="22"/>
      <c r="JWY44" s="22"/>
      <c r="JWZ44" s="22"/>
      <c r="JXA44" s="22"/>
      <c r="JXB44" s="22"/>
      <c r="JXC44" s="22"/>
      <c r="JXD44" s="22"/>
      <c r="JXE44" s="22"/>
      <c r="JXF44" s="22"/>
      <c r="JXG44" s="22"/>
      <c r="JXH44" s="22"/>
      <c r="JXI44" s="22"/>
      <c r="JXJ44" s="22"/>
      <c r="JXK44" s="22"/>
      <c r="JXL44" s="22"/>
      <c r="JXM44" s="22"/>
      <c r="JXN44" s="22"/>
      <c r="JXO44" s="22"/>
      <c r="JXP44" s="22"/>
      <c r="JXQ44" s="22"/>
      <c r="JXR44" s="22"/>
      <c r="JXS44" s="22"/>
      <c r="JXT44" s="22"/>
      <c r="JXU44" s="22"/>
      <c r="JXV44" s="22"/>
      <c r="JXW44" s="22"/>
      <c r="JXX44" s="22"/>
      <c r="JXY44" s="22"/>
      <c r="JXZ44" s="22"/>
      <c r="JYA44" s="22"/>
      <c r="JYB44" s="22"/>
      <c r="JYC44" s="22"/>
      <c r="JYD44" s="22"/>
      <c r="JYE44" s="22"/>
      <c r="JYF44" s="22"/>
      <c r="JYG44" s="22"/>
      <c r="JYH44" s="22"/>
      <c r="JYI44" s="22"/>
      <c r="JYJ44" s="22"/>
      <c r="JYK44" s="22"/>
      <c r="JYL44" s="22"/>
      <c r="JYM44" s="22"/>
      <c r="JYN44" s="22"/>
      <c r="JYO44" s="22"/>
      <c r="JYP44" s="22"/>
      <c r="JYQ44" s="22"/>
      <c r="JYR44" s="22"/>
      <c r="JYS44" s="22"/>
      <c r="JYT44" s="22"/>
      <c r="JYU44" s="22"/>
      <c r="JYV44" s="22"/>
      <c r="JYW44" s="22"/>
      <c r="JYX44" s="22"/>
      <c r="JYY44" s="22"/>
      <c r="JYZ44" s="22"/>
      <c r="JZA44" s="22"/>
      <c r="JZB44" s="22"/>
      <c r="JZC44" s="22"/>
      <c r="JZD44" s="22"/>
      <c r="JZE44" s="22"/>
      <c r="JZF44" s="22"/>
      <c r="JZG44" s="22"/>
      <c r="JZH44" s="22"/>
      <c r="JZI44" s="22"/>
      <c r="JZJ44" s="22"/>
      <c r="JZK44" s="22"/>
      <c r="JZL44" s="22"/>
      <c r="JZM44" s="22"/>
      <c r="JZN44" s="22"/>
      <c r="JZO44" s="22"/>
      <c r="JZP44" s="22"/>
      <c r="JZQ44" s="22"/>
      <c r="JZR44" s="22"/>
      <c r="JZS44" s="22"/>
      <c r="JZT44" s="22"/>
      <c r="JZU44" s="22"/>
      <c r="JZV44" s="22"/>
      <c r="JZW44" s="22"/>
      <c r="JZX44" s="22"/>
      <c r="JZY44" s="22"/>
      <c r="JZZ44" s="22"/>
      <c r="KAA44" s="22"/>
      <c r="KAB44" s="22"/>
      <c r="KAC44" s="22"/>
      <c r="KAD44" s="22"/>
      <c r="KAE44" s="22"/>
      <c r="KAF44" s="22"/>
      <c r="KAG44" s="22"/>
      <c r="KAH44" s="22"/>
      <c r="KAI44" s="22"/>
      <c r="KAJ44" s="22"/>
      <c r="KAK44" s="22"/>
      <c r="KAL44" s="22"/>
      <c r="KAM44" s="22"/>
      <c r="KAN44" s="22"/>
      <c r="KAO44" s="22"/>
      <c r="KAP44" s="22"/>
      <c r="KAQ44" s="22"/>
      <c r="KAR44" s="22"/>
      <c r="KAS44" s="22"/>
      <c r="KAT44" s="22"/>
      <c r="KAU44" s="22"/>
      <c r="KAV44" s="22"/>
      <c r="KAW44" s="22"/>
      <c r="KAX44" s="22"/>
      <c r="KAY44" s="22"/>
      <c r="KAZ44" s="22"/>
      <c r="KBA44" s="22"/>
      <c r="KBB44" s="22"/>
      <c r="KBC44" s="22"/>
      <c r="KBD44" s="22"/>
      <c r="KBE44" s="22"/>
      <c r="KBF44" s="22"/>
      <c r="KBG44" s="22"/>
      <c r="KBH44" s="22"/>
      <c r="KBI44" s="22"/>
      <c r="KBJ44" s="22"/>
      <c r="KBK44" s="22"/>
      <c r="KBL44" s="22"/>
      <c r="KBM44" s="22"/>
      <c r="KBN44" s="22"/>
      <c r="KBO44" s="22"/>
      <c r="KBP44" s="22"/>
      <c r="KBQ44" s="22"/>
      <c r="KBR44" s="22"/>
      <c r="KBS44" s="22"/>
      <c r="KBT44" s="22"/>
      <c r="KBU44" s="22"/>
      <c r="KBV44" s="22"/>
      <c r="KBW44" s="22"/>
      <c r="KBX44" s="22"/>
      <c r="KBY44" s="22"/>
      <c r="KBZ44" s="22"/>
      <c r="KCA44" s="22"/>
      <c r="KCB44" s="22"/>
      <c r="KCC44" s="22"/>
      <c r="KCD44" s="22"/>
      <c r="KCE44" s="22"/>
      <c r="KCF44" s="22"/>
      <c r="KCG44" s="22"/>
      <c r="KCH44" s="22"/>
      <c r="KCI44" s="22"/>
      <c r="KCJ44" s="22"/>
      <c r="KCK44" s="22"/>
      <c r="KCL44" s="22"/>
      <c r="KCM44" s="22"/>
      <c r="KCN44" s="22"/>
      <c r="KCO44" s="22"/>
      <c r="KCP44" s="22"/>
      <c r="KCQ44" s="22"/>
      <c r="KCR44" s="22"/>
      <c r="KCS44" s="22"/>
      <c r="KCT44" s="22"/>
      <c r="KCU44" s="22"/>
      <c r="KCV44" s="22"/>
      <c r="KCW44" s="22"/>
      <c r="KCX44" s="22"/>
      <c r="KCY44" s="22"/>
      <c r="KCZ44" s="22"/>
      <c r="KDA44" s="22"/>
      <c r="KDB44" s="22"/>
      <c r="KDC44" s="22"/>
      <c r="KDD44" s="22"/>
      <c r="KDE44" s="22"/>
      <c r="KDF44" s="22"/>
      <c r="KDG44" s="22"/>
      <c r="KDH44" s="22"/>
      <c r="KDI44" s="22"/>
      <c r="KDJ44" s="22"/>
      <c r="KDK44" s="22"/>
      <c r="KDL44" s="22"/>
      <c r="KDM44" s="22"/>
      <c r="KDN44" s="22"/>
      <c r="KDO44" s="22"/>
      <c r="KDP44" s="22"/>
      <c r="KDQ44" s="22"/>
      <c r="KDR44" s="22"/>
      <c r="KDS44" s="22"/>
      <c r="KDT44" s="22"/>
      <c r="KDU44" s="22"/>
      <c r="KDV44" s="22"/>
      <c r="KDW44" s="22"/>
      <c r="KDX44" s="22"/>
      <c r="KDY44" s="22"/>
      <c r="KDZ44" s="22"/>
      <c r="KEA44" s="22"/>
      <c r="KEB44" s="22"/>
      <c r="KEC44" s="22"/>
      <c r="KED44" s="22"/>
      <c r="KEE44" s="22"/>
      <c r="KEF44" s="22"/>
      <c r="KEG44" s="22"/>
      <c r="KEH44" s="22"/>
      <c r="KEI44" s="22"/>
      <c r="KEJ44" s="22"/>
      <c r="KEK44" s="22"/>
      <c r="KEL44" s="22"/>
      <c r="KEM44" s="22"/>
      <c r="KEN44" s="22"/>
      <c r="KEO44" s="22"/>
      <c r="KEP44" s="22"/>
      <c r="KEQ44" s="22"/>
      <c r="KER44" s="22"/>
      <c r="KES44" s="22"/>
      <c r="KET44" s="22"/>
      <c r="KEU44" s="22"/>
      <c r="KEV44" s="22"/>
      <c r="KEW44" s="22"/>
      <c r="KEX44" s="22"/>
      <c r="KEY44" s="22"/>
      <c r="KEZ44" s="22"/>
      <c r="KFA44" s="22"/>
      <c r="KFB44" s="22"/>
      <c r="KFC44" s="22"/>
      <c r="KFD44" s="22"/>
      <c r="KFE44" s="22"/>
      <c r="KFF44" s="22"/>
      <c r="KFG44" s="22"/>
      <c r="KFH44" s="22"/>
      <c r="KFI44" s="22"/>
      <c r="KFJ44" s="22"/>
      <c r="KFK44" s="22"/>
      <c r="KFL44" s="22"/>
      <c r="KFM44" s="22"/>
      <c r="KFN44" s="22"/>
      <c r="KFO44" s="22"/>
      <c r="KFP44" s="22"/>
      <c r="KFQ44" s="22"/>
      <c r="KFR44" s="22"/>
      <c r="KFS44" s="22"/>
      <c r="KFT44" s="22"/>
      <c r="KFU44" s="22"/>
      <c r="KFV44" s="22"/>
      <c r="KFW44" s="22"/>
      <c r="KFX44" s="22"/>
      <c r="KFY44" s="22"/>
      <c r="KFZ44" s="22"/>
      <c r="KGA44" s="22"/>
      <c r="KGB44" s="22"/>
      <c r="KGC44" s="22"/>
      <c r="KGD44" s="22"/>
      <c r="KGE44" s="22"/>
      <c r="KGF44" s="22"/>
      <c r="KGG44" s="22"/>
      <c r="KGH44" s="22"/>
      <c r="KGI44" s="22"/>
      <c r="KGJ44" s="22"/>
      <c r="KGK44" s="22"/>
      <c r="KGL44" s="22"/>
      <c r="KGM44" s="22"/>
      <c r="KGN44" s="22"/>
      <c r="KGO44" s="22"/>
      <c r="KGP44" s="22"/>
      <c r="KGQ44" s="22"/>
      <c r="KGR44" s="22"/>
      <c r="KGS44" s="22"/>
      <c r="KGT44" s="22"/>
      <c r="KGU44" s="22"/>
      <c r="KGV44" s="22"/>
      <c r="KGW44" s="22"/>
      <c r="KGX44" s="22"/>
      <c r="KGY44" s="22"/>
      <c r="KGZ44" s="22"/>
      <c r="KHA44" s="22"/>
      <c r="KHB44" s="22"/>
      <c r="KHC44" s="22"/>
      <c r="KHD44" s="22"/>
      <c r="KHE44" s="22"/>
      <c r="KHF44" s="22"/>
      <c r="KHG44" s="22"/>
      <c r="KHH44" s="22"/>
      <c r="KHI44" s="22"/>
      <c r="KHJ44" s="22"/>
      <c r="KHK44" s="22"/>
      <c r="KHL44" s="22"/>
      <c r="KHM44" s="22"/>
      <c r="KHN44" s="22"/>
      <c r="KHO44" s="22"/>
      <c r="KHP44" s="22"/>
      <c r="KHQ44" s="22"/>
      <c r="KHR44" s="22"/>
      <c r="KHS44" s="22"/>
      <c r="KHT44" s="22"/>
      <c r="KHU44" s="22"/>
      <c r="KHV44" s="22"/>
      <c r="KHW44" s="22"/>
      <c r="KHX44" s="22"/>
      <c r="KHY44" s="22"/>
      <c r="KHZ44" s="22"/>
      <c r="KIA44" s="22"/>
      <c r="KIB44" s="22"/>
      <c r="KIC44" s="22"/>
      <c r="KID44" s="22"/>
      <c r="KIE44" s="22"/>
      <c r="KIF44" s="22"/>
      <c r="KIG44" s="22"/>
      <c r="KIH44" s="22"/>
      <c r="KII44" s="22"/>
      <c r="KIJ44" s="22"/>
      <c r="KIK44" s="22"/>
      <c r="KIL44" s="22"/>
      <c r="KIM44" s="22"/>
      <c r="KIN44" s="22"/>
      <c r="KIO44" s="22"/>
      <c r="KIP44" s="22"/>
      <c r="KIQ44" s="22"/>
      <c r="KIR44" s="22"/>
      <c r="KIS44" s="22"/>
      <c r="KIT44" s="22"/>
      <c r="KIU44" s="22"/>
      <c r="KIV44" s="22"/>
      <c r="KIW44" s="22"/>
      <c r="KIX44" s="22"/>
      <c r="KIY44" s="22"/>
      <c r="KIZ44" s="22"/>
      <c r="KJA44" s="22"/>
      <c r="KJB44" s="22"/>
      <c r="KJC44" s="22"/>
      <c r="KJD44" s="22"/>
      <c r="KJE44" s="22"/>
      <c r="KJF44" s="22"/>
      <c r="KJG44" s="22"/>
      <c r="KJH44" s="22"/>
      <c r="KJI44" s="22"/>
      <c r="KJJ44" s="22"/>
      <c r="KJK44" s="22"/>
      <c r="KJL44" s="22"/>
      <c r="KJM44" s="22"/>
      <c r="KJN44" s="22"/>
      <c r="KJO44" s="22"/>
      <c r="KJP44" s="22"/>
      <c r="KJQ44" s="22"/>
      <c r="KJR44" s="22"/>
      <c r="KJS44" s="22"/>
      <c r="KJT44" s="22"/>
      <c r="KJU44" s="22"/>
      <c r="KJV44" s="22"/>
      <c r="KJW44" s="22"/>
      <c r="KJX44" s="22"/>
      <c r="KJY44" s="22"/>
      <c r="KJZ44" s="22"/>
      <c r="KKA44" s="22"/>
      <c r="KKB44" s="22"/>
      <c r="KKC44" s="22"/>
      <c r="KKD44" s="22"/>
      <c r="KKE44" s="22"/>
      <c r="KKF44" s="22"/>
      <c r="KKG44" s="22"/>
      <c r="KKH44" s="22"/>
      <c r="KKI44" s="22"/>
      <c r="KKJ44" s="22"/>
      <c r="KKK44" s="22"/>
      <c r="KKL44" s="22"/>
      <c r="KKM44" s="22"/>
      <c r="KKN44" s="22"/>
      <c r="KKO44" s="22"/>
      <c r="KKP44" s="22"/>
      <c r="KKQ44" s="22"/>
      <c r="KKR44" s="22"/>
      <c r="KKS44" s="22"/>
      <c r="KKT44" s="22"/>
      <c r="KKU44" s="22"/>
      <c r="KKV44" s="22"/>
      <c r="KKW44" s="22"/>
      <c r="KKX44" s="22"/>
      <c r="KKY44" s="22"/>
      <c r="KKZ44" s="22"/>
      <c r="KLA44" s="22"/>
      <c r="KLB44" s="22"/>
      <c r="KLC44" s="22"/>
      <c r="KLD44" s="22"/>
      <c r="KLE44" s="22"/>
      <c r="KLF44" s="22"/>
      <c r="KLG44" s="22"/>
      <c r="KLH44" s="22"/>
      <c r="KLI44" s="22"/>
      <c r="KLJ44" s="22"/>
      <c r="KLK44" s="22"/>
      <c r="KLL44" s="22"/>
      <c r="KLM44" s="22"/>
      <c r="KLN44" s="22"/>
      <c r="KLO44" s="22"/>
      <c r="KLP44" s="22"/>
      <c r="KLQ44" s="22"/>
      <c r="KLR44" s="22"/>
      <c r="KLS44" s="22"/>
      <c r="KLT44" s="22"/>
      <c r="KLU44" s="22"/>
      <c r="KLV44" s="22"/>
      <c r="KLW44" s="22"/>
      <c r="KLX44" s="22"/>
      <c r="KLY44" s="22"/>
      <c r="KLZ44" s="22"/>
      <c r="KMA44" s="22"/>
      <c r="KMB44" s="22"/>
      <c r="KMC44" s="22"/>
      <c r="KMD44" s="22"/>
      <c r="KME44" s="22"/>
      <c r="KMF44" s="22"/>
      <c r="KMG44" s="22"/>
      <c r="KMH44" s="22"/>
      <c r="KMI44" s="22"/>
      <c r="KMJ44" s="22"/>
      <c r="KMK44" s="22"/>
      <c r="KML44" s="22"/>
      <c r="KMM44" s="22"/>
      <c r="KMN44" s="22"/>
      <c r="KMO44" s="22"/>
      <c r="KMP44" s="22"/>
      <c r="KMQ44" s="22"/>
      <c r="KMR44" s="22"/>
      <c r="KMS44" s="22"/>
      <c r="KMT44" s="22"/>
      <c r="KMU44" s="22"/>
      <c r="KMV44" s="22"/>
      <c r="KMW44" s="22"/>
      <c r="KMX44" s="22"/>
      <c r="KMY44" s="22"/>
      <c r="KMZ44" s="22"/>
      <c r="KNA44" s="22"/>
      <c r="KNB44" s="22"/>
      <c r="KNC44" s="22"/>
      <c r="KND44" s="22"/>
      <c r="KNE44" s="22"/>
      <c r="KNF44" s="22"/>
      <c r="KNG44" s="22"/>
      <c r="KNH44" s="22"/>
      <c r="KNI44" s="22"/>
      <c r="KNJ44" s="22"/>
      <c r="KNK44" s="22"/>
      <c r="KNL44" s="22"/>
      <c r="KNM44" s="22"/>
      <c r="KNN44" s="22"/>
      <c r="KNO44" s="22"/>
      <c r="KNP44" s="22"/>
      <c r="KNQ44" s="22"/>
      <c r="KNR44" s="22"/>
      <c r="KNS44" s="22"/>
      <c r="KNT44" s="22"/>
      <c r="KNU44" s="22"/>
      <c r="KNV44" s="22"/>
      <c r="KNW44" s="22"/>
      <c r="KNX44" s="22"/>
      <c r="KNY44" s="22"/>
      <c r="KNZ44" s="22"/>
      <c r="KOA44" s="22"/>
      <c r="KOB44" s="22"/>
      <c r="KOC44" s="22"/>
      <c r="KOD44" s="22"/>
      <c r="KOE44" s="22"/>
      <c r="KOF44" s="22"/>
      <c r="KOG44" s="22"/>
      <c r="KOH44" s="22"/>
      <c r="KOI44" s="22"/>
      <c r="KOJ44" s="22"/>
      <c r="KOK44" s="22"/>
      <c r="KOL44" s="22"/>
      <c r="KOM44" s="22"/>
      <c r="KON44" s="22"/>
      <c r="KOO44" s="22"/>
      <c r="KOP44" s="22"/>
      <c r="KOQ44" s="22"/>
      <c r="KOR44" s="22"/>
      <c r="KOS44" s="22"/>
      <c r="KOT44" s="22"/>
      <c r="KOU44" s="22"/>
      <c r="KOV44" s="22"/>
      <c r="KOW44" s="22"/>
      <c r="KOX44" s="22"/>
      <c r="KOY44" s="22"/>
      <c r="KOZ44" s="22"/>
      <c r="KPA44" s="22"/>
      <c r="KPB44" s="22"/>
      <c r="KPC44" s="22"/>
      <c r="KPD44" s="22"/>
      <c r="KPE44" s="22"/>
      <c r="KPF44" s="22"/>
      <c r="KPG44" s="22"/>
      <c r="KPH44" s="22"/>
      <c r="KPI44" s="22"/>
      <c r="KPJ44" s="22"/>
      <c r="KPK44" s="22"/>
      <c r="KPL44" s="22"/>
      <c r="KPM44" s="22"/>
      <c r="KPN44" s="22"/>
      <c r="KPO44" s="22"/>
      <c r="KPP44" s="22"/>
      <c r="KPQ44" s="22"/>
      <c r="KPR44" s="22"/>
      <c r="KPS44" s="22"/>
      <c r="KPT44" s="22"/>
      <c r="KPU44" s="22"/>
      <c r="KPV44" s="22"/>
      <c r="KPW44" s="22"/>
      <c r="KPX44" s="22"/>
      <c r="KPY44" s="22"/>
      <c r="KPZ44" s="22"/>
      <c r="KQA44" s="22"/>
      <c r="KQB44" s="22"/>
      <c r="KQC44" s="22"/>
      <c r="KQD44" s="22"/>
      <c r="KQE44" s="22"/>
      <c r="KQF44" s="22"/>
      <c r="KQG44" s="22"/>
      <c r="KQH44" s="22"/>
      <c r="KQI44" s="22"/>
      <c r="KQJ44" s="22"/>
      <c r="KQK44" s="22"/>
      <c r="KQL44" s="22"/>
      <c r="KQM44" s="22"/>
      <c r="KQN44" s="22"/>
      <c r="KQO44" s="22"/>
      <c r="KQP44" s="22"/>
      <c r="KQQ44" s="22"/>
      <c r="KQR44" s="22"/>
      <c r="KQS44" s="22"/>
      <c r="KQT44" s="22"/>
      <c r="KQU44" s="22"/>
      <c r="KQV44" s="22"/>
      <c r="KQW44" s="22"/>
      <c r="KQX44" s="22"/>
      <c r="KQY44" s="22"/>
      <c r="KQZ44" s="22"/>
      <c r="KRA44" s="22"/>
      <c r="KRB44" s="22"/>
      <c r="KRC44" s="22"/>
      <c r="KRD44" s="22"/>
      <c r="KRE44" s="22"/>
      <c r="KRF44" s="22"/>
      <c r="KRG44" s="22"/>
      <c r="KRH44" s="22"/>
      <c r="KRI44" s="22"/>
      <c r="KRJ44" s="22"/>
      <c r="KRK44" s="22"/>
      <c r="KRL44" s="22"/>
      <c r="KRM44" s="22"/>
      <c r="KRN44" s="22"/>
      <c r="KRO44" s="22"/>
      <c r="KRP44" s="22"/>
      <c r="KRQ44" s="22"/>
      <c r="KRR44" s="22"/>
      <c r="KRS44" s="22"/>
      <c r="KRT44" s="22"/>
      <c r="KRU44" s="22"/>
      <c r="KRV44" s="22"/>
      <c r="KRW44" s="22"/>
      <c r="KRX44" s="22"/>
      <c r="KRY44" s="22"/>
      <c r="KRZ44" s="22"/>
      <c r="KSA44" s="22"/>
      <c r="KSB44" s="22"/>
      <c r="KSC44" s="22"/>
      <c r="KSD44" s="22"/>
      <c r="KSE44" s="22"/>
      <c r="KSF44" s="22"/>
      <c r="KSG44" s="22"/>
      <c r="KSH44" s="22"/>
      <c r="KSI44" s="22"/>
      <c r="KSJ44" s="22"/>
      <c r="KSK44" s="22"/>
      <c r="KSL44" s="22"/>
      <c r="KSM44" s="22"/>
      <c r="KSN44" s="22"/>
      <c r="KSO44" s="22"/>
      <c r="KSP44" s="22"/>
      <c r="KSQ44" s="22"/>
      <c r="KSR44" s="22"/>
      <c r="KSS44" s="22"/>
      <c r="KST44" s="22"/>
      <c r="KSU44" s="22"/>
      <c r="KSV44" s="22"/>
      <c r="KSW44" s="22"/>
      <c r="KSX44" s="22"/>
      <c r="KSY44" s="22"/>
      <c r="KSZ44" s="22"/>
      <c r="KTA44" s="22"/>
      <c r="KTB44" s="22"/>
      <c r="KTC44" s="22"/>
      <c r="KTD44" s="22"/>
      <c r="KTE44" s="22"/>
      <c r="KTF44" s="22"/>
      <c r="KTG44" s="22"/>
      <c r="KTH44" s="22"/>
      <c r="KTI44" s="22"/>
      <c r="KTJ44" s="22"/>
      <c r="KTK44" s="22"/>
      <c r="KTL44" s="22"/>
      <c r="KTM44" s="22"/>
      <c r="KTN44" s="22"/>
      <c r="KTO44" s="22"/>
      <c r="KTP44" s="22"/>
      <c r="KTQ44" s="22"/>
      <c r="KTR44" s="22"/>
      <c r="KTS44" s="22"/>
      <c r="KTT44" s="22"/>
      <c r="KTU44" s="22"/>
      <c r="KTV44" s="22"/>
      <c r="KTW44" s="22"/>
      <c r="KTX44" s="22"/>
      <c r="KTY44" s="22"/>
      <c r="KTZ44" s="22"/>
      <c r="KUA44" s="22"/>
      <c r="KUB44" s="22"/>
      <c r="KUC44" s="22"/>
      <c r="KUD44" s="22"/>
      <c r="KUE44" s="22"/>
      <c r="KUF44" s="22"/>
      <c r="KUG44" s="22"/>
      <c r="KUH44" s="22"/>
      <c r="KUI44" s="22"/>
      <c r="KUJ44" s="22"/>
      <c r="KUK44" s="22"/>
      <c r="KUL44" s="22"/>
      <c r="KUM44" s="22"/>
      <c r="KUN44" s="22"/>
      <c r="KUO44" s="22"/>
      <c r="KUP44" s="22"/>
      <c r="KUQ44" s="22"/>
      <c r="KUR44" s="22"/>
      <c r="KUS44" s="22"/>
      <c r="KUT44" s="22"/>
      <c r="KUU44" s="22"/>
      <c r="KUV44" s="22"/>
      <c r="KUW44" s="22"/>
      <c r="KUX44" s="22"/>
      <c r="KUY44" s="22"/>
      <c r="KUZ44" s="22"/>
      <c r="KVA44" s="22"/>
      <c r="KVB44" s="22"/>
      <c r="KVC44" s="22"/>
      <c r="KVD44" s="22"/>
      <c r="KVE44" s="22"/>
      <c r="KVF44" s="22"/>
      <c r="KVG44" s="22"/>
      <c r="KVH44" s="22"/>
      <c r="KVI44" s="22"/>
      <c r="KVJ44" s="22"/>
      <c r="KVK44" s="22"/>
      <c r="KVL44" s="22"/>
      <c r="KVM44" s="22"/>
      <c r="KVN44" s="22"/>
      <c r="KVO44" s="22"/>
      <c r="KVP44" s="22"/>
      <c r="KVQ44" s="22"/>
      <c r="KVR44" s="22"/>
      <c r="KVS44" s="22"/>
      <c r="KVT44" s="22"/>
      <c r="KVU44" s="22"/>
      <c r="KVV44" s="22"/>
      <c r="KVW44" s="22"/>
      <c r="KVX44" s="22"/>
      <c r="KVY44" s="22"/>
      <c r="KVZ44" s="22"/>
      <c r="KWA44" s="22"/>
      <c r="KWB44" s="22"/>
      <c r="KWC44" s="22"/>
      <c r="KWD44" s="22"/>
      <c r="KWE44" s="22"/>
      <c r="KWF44" s="22"/>
      <c r="KWG44" s="22"/>
      <c r="KWH44" s="22"/>
      <c r="KWI44" s="22"/>
      <c r="KWJ44" s="22"/>
      <c r="KWK44" s="22"/>
      <c r="KWL44" s="22"/>
      <c r="KWM44" s="22"/>
      <c r="KWN44" s="22"/>
      <c r="KWO44" s="22"/>
      <c r="KWP44" s="22"/>
      <c r="KWQ44" s="22"/>
      <c r="KWR44" s="22"/>
      <c r="KWS44" s="22"/>
      <c r="KWT44" s="22"/>
      <c r="KWU44" s="22"/>
      <c r="KWV44" s="22"/>
      <c r="KWW44" s="22"/>
      <c r="KWX44" s="22"/>
      <c r="KWY44" s="22"/>
      <c r="KWZ44" s="22"/>
      <c r="KXA44" s="22"/>
      <c r="KXB44" s="22"/>
      <c r="KXC44" s="22"/>
      <c r="KXD44" s="22"/>
      <c r="KXE44" s="22"/>
      <c r="KXF44" s="22"/>
      <c r="KXG44" s="22"/>
      <c r="KXH44" s="22"/>
      <c r="KXI44" s="22"/>
      <c r="KXJ44" s="22"/>
      <c r="KXK44" s="22"/>
      <c r="KXL44" s="22"/>
      <c r="KXM44" s="22"/>
      <c r="KXN44" s="22"/>
      <c r="KXO44" s="22"/>
      <c r="KXP44" s="22"/>
      <c r="KXQ44" s="22"/>
      <c r="KXR44" s="22"/>
      <c r="KXS44" s="22"/>
      <c r="KXT44" s="22"/>
      <c r="KXU44" s="22"/>
      <c r="KXV44" s="22"/>
      <c r="KXW44" s="22"/>
      <c r="KXX44" s="22"/>
      <c r="KXY44" s="22"/>
      <c r="KXZ44" s="22"/>
      <c r="KYA44" s="22"/>
      <c r="KYB44" s="22"/>
      <c r="KYC44" s="22"/>
      <c r="KYD44" s="22"/>
      <c r="KYE44" s="22"/>
      <c r="KYF44" s="22"/>
      <c r="KYG44" s="22"/>
      <c r="KYH44" s="22"/>
      <c r="KYI44" s="22"/>
      <c r="KYJ44" s="22"/>
      <c r="KYK44" s="22"/>
      <c r="KYL44" s="22"/>
      <c r="KYM44" s="22"/>
      <c r="KYN44" s="22"/>
      <c r="KYO44" s="22"/>
      <c r="KYP44" s="22"/>
      <c r="KYQ44" s="22"/>
      <c r="KYR44" s="22"/>
      <c r="KYS44" s="22"/>
      <c r="KYT44" s="22"/>
      <c r="KYU44" s="22"/>
      <c r="KYV44" s="22"/>
      <c r="KYW44" s="22"/>
      <c r="KYX44" s="22"/>
      <c r="KYY44" s="22"/>
      <c r="KYZ44" s="22"/>
      <c r="KZA44" s="22"/>
      <c r="KZB44" s="22"/>
      <c r="KZC44" s="22"/>
      <c r="KZD44" s="22"/>
      <c r="KZE44" s="22"/>
      <c r="KZF44" s="22"/>
      <c r="KZG44" s="22"/>
      <c r="KZH44" s="22"/>
      <c r="KZI44" s="22"/>
      <c r="KZJ44" s="22"/>
      <c r="KZK44" s="22"/>
      <c r="KZL44" s="22"/>
      <c r="KZM44" s="22"/>
      <c r="KZN44" s="22"/>
      <c r="KZO44" s="22"/>
      <c r="KZP44" s="22"/>
      <c r="KZQ44" s="22"/>
      <c r="KZR44" s="22"/>
      <c r="KZS44" s="22"/>
      <c r="KZT44" s="22"/>
      <c r="KZU44" s="22"/>
      <c r="KZV44" s="22"/>
      <c r="KZW44" s="22"/>
      <c r="KZX44" s="22"/>
      <c r="KZY44" s="22"/>
      <c r="KZZ44" s="22"/>
      <c r="LAA44" s="22"/>
      <c r="LAB44" s="22"/>
      <c r="LAC44" s="22"/>
      <c r="LAD44" s="22"/>
      <c r="LAE44" s="22"/>
      <c r="LAF44" s="22"/>
      <c r="LAG44" s="22"/>
      <c r="LAH44" s="22"/>
      <c r="LAI44" s="22"/>
      <c r="LAJ44" s="22"/>
      <c r="LAK44" s="22"/>
      <c r="LAL44" s="22"/>
      <c r="LAM44" s="22"/>
      <c r="LAN44" s="22"/>
      <c r="LAO44" s="22"/>
      <c r="LAP44" s="22"/>
      <c r="LAQ44" s="22"/>
      <c r="LAR44" s="22"/>
      <c r="LAS44" s="22"/>
      <c r="LAT44" s="22"/>
      <c r="LAU44" s="22"/>
      <c r="LAV44" s="22"/>
      <c r="LAW44" s="22"/>
      <c r="LAX44" s="22"/>
      <c r="LAY44" s="22"/>
      <c r="LAZ44" s="22"/>
      <c r="LBA44" s="22"/>
      <c r="LBB44" s="22"/>
      <c r="LBC44" s="22"/>
      <c r="LBD44" s="22"/>
      <c r="LBE44" s="22"/>
      <c r="LBF44" s="22"/>
      <c r="LBG44" s="22"/>
      <c r="LBH44" s="22"/>
      <c r="LBI44" s="22"/>
      <c r="LBJ44" s="22"/>
      <c r="LBK44" s="22"/>
      <c r="LBL44" s="22"/>
      <c r="LBM44" s="22"/>
      <c r="LBN44" s="22"/>
      <c r="LBO44" s="22"/>
      <c r="LBP44" s="22"/>
      <c r="LBQ44" s="22"/>
      <c r="LBR44" s="22"/>
      <c r="LBS44" s="22"/>
      <c r="LBT44" s="22"/>
      <c r="LBU44" s="22"/>
      <c r="LBV44" s="22"/>
      <c r="LBW44" s="22"/>
      <c r="LBX44" s="22"/>
      <c r="LBY44" s="22"/>
      <c r="LBZ44" s="22"/>
      <c r="LCA44" s="22"/>
      <c r="LCB44" s="22"/>
      <c r="LCC44" s="22"/>
      <c r="LCD44" s="22"/>
      <c r="LCE44" s="22"/>
      <c r="LCF44" s="22"/>
      <c r="LCG44" s="22"/>
      <c r="LCH44" s="22"/>
      <c r="LCI44" s="22"/>
      <c r="LCJ44" s="22"/>
      <c r="LCK44" s="22"/>
      <c r="LCL44" s="22"/>
      <c r="LCM44" s="22"/>
      <c r="LCN44" s="22"/>
      <c r="LCO44" s="22"/>
      <c r="LCP44" s="22"/>
      <c r="LCQ44" s="22"/>
      <c r="LCR44" s="22"/>
      <c r="LCS44" s="22"/>
      <c r="LCT44" s="22"/>
      <c r="LCU44" s="22"/>
      <c r="LCV44" s="22"/>
      <c r="LCW44" s="22"/>
      <c r="LCX44" s="22"/>
      <c r="LCY44" s="22"/>
      <c r="LCZ44" s="22"/>
      <c r="LDA44" s="22"/>
      <c r="LDB44" s="22"/>
      <c r="LDC44" s="22"/>
      <c r="LDD44" s="22"/>
      <c r="LDE44" s="22"/>
      <c r="LDF44" s="22"/>
      <c r="LDG44" s="22"/>
      <c r="LDH44" s="22"/>
      <c r="LDI44" s="22"/>
      <c r="LDJ44" s="22"/>
      <c r="LDK44" s="22"/>
      <c r="LDL44" s="22"/>
      <c r="LDM44" s="22"/>
      <c r="LDN44" s="22"/>
      <c r="LDO44" s="22"/>
      <c r="LDP44" s="22"/>
      <c r="LDQ44" s="22"/>
      <c r="LDR44" s="22"/>
      <c r="LDS44" s="22"/>
      <c r="LDT44" s="22"/>
      <c r="LDU44" s="22"/>
      <c r="LDV44" s="22"/>
      <c r="LDW44" s="22"/>
      <c r="LDX44" s="22"/>
      <c r="LDY44" s="22"/>
      <c r="LDZ44" s="22"/>
      <c r="LEA44" s="22"/>
      <c r="LEB44" s="22"/>
      <c r="LEC44" s="22"/>
      <c r="LED44" s="22"/>
      <c r="LEE44" s="22"/>
      <c r="LEF44" s="22"/>
      <c r="LEG44" s="22"/>
      <c r="LEH44" s="22"/>
      <c r="LEI44" s="22"/>
      <c r="LEJ44" s="22"/>
      <c r="LEK44" s="22"/>
      <c r="LEL44" s="22"/>
      <c r="LEM44" s="22"/>
      <c r="LEN44" s="22"/>
      <c r="LEO44" s="22"/>
      <c r="LEP44" s="22"/>
      <c r="LEQ44" s="22"/>
      <c r="LER44" s="22"/>
      <c r="LES44" s="22"/>
      <c r="LET44" s="22"/>
      <c r="LEU44" s="22"/>
      <c r="LEV44" s="22"/>
      <c r="LEW44" s="22"/>
      <c r="LEX44" s="22"/>
      <c r="LEY44" s="22"/>
      <c r="LEZ44" s="22"/>
      <c r="LFA44" s="22"/>
      <c r="LFB44" s="22"/>
      <c r="LFC44" s="22"/>
      <c r="LFD44" s="22"/>
      <c r="LFE44" s="22"/>
      <c r="LFF44" s="22"/>
      <c r="LFG44" s="22"/>
      <c r="LFH44" s="22"/>
      <c r="LFI44" s="22"/>
      <c r="LFJ44" s="22"/>
      <c r="LFK44" s="22"/>
      <c r="LFL44" s="22"/>
      <c r="LFM44" s="22"/>
      <c r="LFN44" s="22"/>
      <c r="LFO44" s="22"/>
      <c r="LFP44" s="22"/>
      <c r="LFQ44" s="22"/>
      <c r="LFR44" s="22"/>
      <c r="LFS44" s="22"/>
      <c r="LFT44" s="22"/>
      <c r="LFU44" s="22"/>
      <c r="LFV44" s="22"/>
      <c r="LFW44" s="22"/>
      <c r="LFX44" s="22"/>
      <c r="LFY44" s="22"/>
      <c r="LFZ44" s="22"/>
      <c r="LGA44" s="22"/>
      <c r="LGB44" s="22"/>
      <c r="LGC44" s="22"/>
      <c r="LGD44" s="22"/>
      <c r="LGE44" s="22"/>
      <c r="LGF44" s="22"/>
      <c r="LGG44" s="22"/>
      <c r="LGH44" s="22"/>
      <c r="LGI44" s="22"/>
      <c r="LGJ44" s="22"/>
      <c r="LGK44" s="22"/>
      <c r="LGL44" s="22"/>
      <c r="LGM44" s="22"/>
      <c r="LGN44" s="22"/>
      <c r="LGO44" s="22"/>
      <c r="LGP44" s="22"/>
      <c r="LGQ44" s="22"/>
      <c r="LGR44" s="22"/>
      <c r="LGS44" s="22"/>
      <c r="LGT44" s="22"/>
      <c r="LGU44" s="22"/>
      <c r="LGV44" s="22"/>
      <c r="LGW44" s="22"/>
      <c r="LGX44" s="22"/>
      <c r="LGY44" s="22"/>
      <c r="LGZ44" s="22"/>
      <c r="LHA44" s="22"/>
      <c r="LHB44" s="22"/>
      <c r="LHC44" s="22"/>
      <c r="LHD44" s="22"/>
      <c r="LHE44" s="22"/>
      <c r="LHF44" s="22"/>
      <c r="LHG44" s="22"/>
      <c r="LHH44" s="22"/>
      <c r="LHI44" s="22"/>
      <c r="LHJ44" s="22"/>
      <c r="LHK44" s="22"/>
      <c r="LHL44" s="22"/>
      <c r="LHM44" s="22"/>
      <c r="LHN44" s="22"/>
      <c r="LHO44" s="22"/>
      <c r="LHP44" s="22"/>
      <c r="LHQ44" s="22"/>
      <c r="LHR44" s="22"/>
      <c r="LHS44" s="22"/>
      <c r="LHT44" s="22"/>
      <c r="LHU44" s="22"/>
      <c r="LHV44" s="22"/>
      <c r="LHW44" s="22"/>
      <c r="LHX44" s="22"/>
      <c r="LHY44" s="22"/>
      <c r="LHZ44" s="22"/>
      <c r="LIA44" s="22"/>
      <c r="LIB44" s="22"/>
      <c r="LIC44" s="22"/>
      <c r="LID44" s="22"/>
      <c r="LIE44" s="22"/>
      <c r="LIF44" s="22"/>
      <c r="LIG44" s="22"/>
      <c r="LIH44" s="22"/>
      <c r="LII44" s="22"/>
      <c r="LIJ44" s="22"/>
      <c r="LIK44" s="22"/>
      <c r="LIL44" s="22"/>
      <c r="LIM44" s="22"/>
      <c r="LIN44" s="22"/>
      <c r="LIO44" s="22"/>
      <c r="LIP44" s="22"/>
      <c r="LIQ44" s="22"/>
      <c r="LIR44" s="22"/>
      <c r="LIS44" s="22"/>
      <c r="LIT44" s="22"/>
      <c r="LIU44" s="22"/>
      <c r="LIV44" s="22"/>
      <c r="LIW44" s="22"/>
      <c r="LIX44" s="22"/>
      <c r="LIY44" s="22"/>
      <c r="LIZ44" s="22"/>
      <c r="LJA44" s="22"/>
      <c r="LJB44" s="22"/>
      <c r="LJC44" s="22"/>
      <c r="LJD44" s="22"/>
      <c r="LJE44" s="22"/>
      <c r="LJF44" s="22"/>
      <c r="LJG44" s="22"/>
      <c r="LJH44" s="22"/>
      <c r="LJI44" s="22"/>
      <c r="LJJ44" s="22"/>
      <c r="LJK44" s="22"/>
      <c r="LJL44" s="22"/>
      <c r="LJM44" s="22"/>
      <c r="LJN44" s="22"/>
      <c r="LJO44" s="22"/>
      <c r="LJP44" s="22"/>
      <c r="LJQ44" s="22"/>
      <c r="LJR44" s="22"/>
      <c r="LJS44" s="22"/>
      <c r="LJT44" s="22"/>
      <c r="LJU44" s="22"/>
      <c r="LJV44" s="22"/>
      <c r="LJW44" s="22"/>
      <c r="LJX44" s="22"/>
      <c r="LJY44" s="22"/>
      <c r="LJZ44" s="22"/>
      <c r="LKA44" s="22"/>
      <c r="LKB44" s="22"/>
      <c r="LKC44" s="22"/>
      <c r="LKD44" s="22"/>
      <c r="LKE44" s="22"/>
      <c r="LKF44" s="22"/>
      <c r="LKG44" s="22"/>
      <c r="LKH44" s="22"/>
      <c r="LKI44" s="22"/>
      <c r="LKJ44" s="22"/>
      <c r="LKK44" s="22"/>
      <c r="LKL44" s="22"/>
      <c r="LKM44" s="22"/>
      <c r="LKN44" s="22"/>
      <c r="LKO44" s="22"/>
      <c r="LKP44" s="22"/>
      <c r="LKQ44" s="22"/>
      <c r="LKR44" s="22"/>
      <c r="LKS44" s="22"/>
      <c r="LKT44" s="22"/>
      <c r="LKU44" s="22"/>
      <c r="LKV44" s="22"/>
      <c r="LKW44" s="22"/>
      <c r="LKX44" s="22"/>
      <c r="LKY44" s="22"/>
      <c r="LKZ44" s="22"/>
      <c r="LLA44" s="22"/>
      <c r="LLB44" s="22"/>
      <c r="LLC44" s="22"/>
      <c r="LLD44" s="22"/>
      <c r="LLE44" s="22"/>
      <c r="LLF44" s="22"/>
      <c r="LLG44" s="22"/>
      <c r="LLH44" s="22"/>
      <c r="LLI44" s="22"/>
      <c r="LLJ44" s="22"/>
      <c r="LLK44" s="22"/>
      <c r="LLL44" s="22"/>
      <c r="LLM44" s="22"/>
      <c r="LLN44" s="22"/>
      <c r="LLO44" s="22"/>
      <c r="LLP44" s="22"/>
      <c r="LLQ44" s="22"/>
      <c r="LLR44" s="22"/>
      <c r="LLS44" s="22"/>
      <c r="LLT44" s="22"/>
      <c r="LLU44" s="22"/>
      <c r="LLV44" s="22"/>
      <c r="LLW44" s="22"/>
      <c r="LLX44" s="22"/>
      <c r="LLY44" s="22"/>
      <c r="LLZ44" s="22"/>
      <c r="LMA44" s="22"/>
      <c r="LMB44" s="22"/>
      <c r="LMC44" s="22"/>
      <c r="LMD44" s="22"/>
      <c r="LME44" s="22"/>
      <c r="LMF44" s="22"/>
      <c r="LMG44" s="22"/>
      <c r="LMH44" s="22"/>
      <c r="LMI44" s="22"/>
      <c r="LMJ44" s="22"/>
      <c r="LMK44" s="22"/>
      <c r="LML44" s="22"/>
      <c r="LMM44" s="22"/>
      <c r="LMN44" s="22"/>
      <c r="LMO44" s="22"/>
      <c r="LMP44" s="22"/>
      <c r="LMQ44" s="22"/>
      <c r="LMR44" s="22"/>
      <c r="LMS44" s="22"/>
      <c r="LMT44" s="22"/>
      <c r="LMU44" s="22"/>
      <c r="LMV44" s="22"/>
      <c r="LMW44" s="22"/>
      <c r="LMX44" s="22"/>
      <c r="LMY44" s="22"/>
      <c r="LMZ44" s="22"/>
      <c r="LNA44" s="22"/>
      <c r="LNB44" s="22"/>
      <c r="LNC44" s="22"/>
      <c r="LND44" s="22"/>
      <c r="LNE44" s="22"/>
      <c r="LNF44" s="22"/>
      <c r="LNG44" s="22"/>
      <c r="LNH44" s="22"/>
      <c r="LNI44" s="22"/>
      <c r="LNJ44" s="22"/>
      <c r="LNK44" s="22"/>
      <c r="LNL44" s="22"/>
      <c r="LNM44" s="22"/>
      <c r="LNN44" s="22"/>
      <c r="LNO44" s="22"/>
      <c r="LNP44" s="22"/>
      <c r="LNQ44" s="22"/>
      <c r="LNR44" s="22"/>
      <c r="LNS44" s="22"/>
      <c r="LNT44" s="22"/>
      <c r="LNU44" s="22"/>
      <c r="LNV44" s="22"/>
      <c r="LNW44" s="22"/>
      <c r="LNX44" s="22"/>
      <c r="LNY44" s="22"/>
      <c r="LNZ44" s="22"/>
      <c r="LOA44" s="22"/>
      <c r="LOB44" s="22"/>
      <c r="LOC44" s="22"/>
      <c r="LOD44" s="22"/>
      <c r="LOE44" s="22"/>
      <c r="LOF44" s="22"/>
      <c r="LOG44" s="22"/>
      <c r="LOH44" s="22"/>
      <c r="LOI44" s="22"/>
      <c r="LOJ44" s="22"/>
      <c r="LOK44" s="22"/>
      <c r="LOL44" s="22"/>
      <c r="LOM44" s="22"/>
      <c r="LON44" s="22"/>
      <c r="LOO44" s="22"/>
      <c r="LOP44" s="22"/>
      <c r="LOQ44" s="22"/>
      <c r="LOR44" s="22"/>
      <c r="LOS44" s="22"/>
      <c r="LOT44" s="22"/>
      <c r="LOU44" s="22"/>
      <c r="LOV44" s="22"/>
      <c r="LOW44" s="22"/>
      <c r="LOX44" s="22"/>
      <c r="LOY44" s="22"/>
      <c r="LOZ44" s="22"/>
      <c r="LPA44" s="22"/>
      <c r="LPB44" s="22"/>
      <c r="LPC44" s="22"/>
      <c r="LPD44" s="22"/>
      <c r="LPE44" s="22"/>
      <c r="LPF44" s="22"/>
      <c r="LPG44" s="22"/>
      <c r="LPH44" s="22"/>
      <c r="LPI44" s="22"/>
      <c r="LPJ44" s="22"/>
      <c r="LPK44" s="22"/>
      <c r="LPL44" s="22"/>
      <c r="LPM44" s="22"/>
      <c r="LPN44" s="22"/>
      <c r="LPO44" s="22"/>
      <c r="LPP44" s="22"/>
      <c r="LPQ44" s="22"/>
      <c r="LPR44" s="22"/>
      <c r="LPS44" s="22"/>
      <c r="LPT44" s="22"/>
      <c r="LPU44" s="22"/>
      <c r="LPV44" s="22"/>
      <c r="LPW44" s="22"/>
      <c r="LPX44" s="22"/>
      <c r="LPY44" s="22"/>
      <c r="LPZ44" s="22"/>
      <c r="LQA44" s="22"/>
      <c r="LQB44" s="22"/>
      <c r="LQC44" s="22"/>
      <c r="LQD44" s="22"/>
      <c r="LQE44" s="22"/>
      <c r="LQF44" s="22"/>
      <c r="LQG44" s="22"/>
      <c r="LQH44" s="22"/>
      <c r="LQI44" s="22"/>
      <c r="LQJ44" s="22"/>
      <c r="LQK44" s="22"/>
      <c r="LQL44" s="22"/>
      <c r="LQM44" s="22"/>
      <c r="LQN44" s="22"/>
      <c r="LQO44" s="22"/>
      <c r="LQP44" s="22"/>
      <c r="LQQ44" s="22"/>
      <c r="LQR44" s="22"/>
      <c r="LQS44" s="22"/>
      <c r="LQT44" s="22"/>
      <c r="LQU44" s="22"/>
      <c r="LQV44" s="22"/>
      <c r="LQW44" s="22"/>
      <c r="LQX44" s="22"/>
      <c r="LQY44" s="22"/>
      <c r="LQZ44" s="22"/>
      <c r="LRA44" s="22"/>
      <c r="LRB44" s="22"/>
      <c r="LRC44" s="22"/>
      <c r="LRD44" s="22"/>
      <c r="LRE44" s="22"/>
      <c r="LRF44" s="22"/>
      <c r="LRG44" s="22"/>
      <c r="LRH44" s="22"/>
      <c r="LRI44" s="22"/>
      <c r="LRJ44" s="22"/>
      <c r="LRK44" s="22"/>
      <c r="LRL44" s="22"/>
      <c r="LRM44" s="22"/>
      <c r="LRN44" s="22"/>
      <c r="LRO44" s="22"/>
      <c r="LRP44" s="22"/>
      <c r="LRQ44" s="22"/>
      <c r="LRR44" s="22"/>
      <c r="LRS44" s="22"/>
      <c r="LRT44" s="22"/>
      <c r="LRU44" s="22"/>
      <c r="LRV44" s="22"/>
      <c r="LRW44" s="22"/>
      <c r="LRX44" s="22"/>
      <c r="LRY44" s="22"/>
      <c r="LRZ44" s="22"/>
      <c r="LSA44" s="22"/>
      <c r="LSB44" s="22"/>
      <c r="LSC44" s="22"/>
      <c r="LSD44" s="22"/>
      <c r="LSE44" s="22"/>
      <c r="LSF44" s="22"/>
      <c r="LSG44" s="22"/>
      <c r="LSH44" s="22"/>
      <c r="LSI44" s="22"/>
      <c r="LSJ44" s="22"/>
      <c r="LSK44" s="22"/>
      <c r="LSL44" s="22"/>
      <c r="LSM44" s="22"/>
      <c r="LSN44" s="22"/>
      <c r="LSO44" s="22"/>
      <c r="LSP44" s="22"/>
      <c r="LSQ44" s="22"/>
      <c r="LSR44" s="22"/>
      <c r="LSS44" s="22"/>
      <c r="LST44" s="22"/>
      <c r="LSU44" s="22"/>
      <c r="LSV44" s="22"/>
      <c r="LSW44" s="22"/>
      <c r="LSX44" s="22"/>
      <c r="LSY44" s="22"/>
      <c r="LSZ44" s="22"/>
      <c r="LTA44" s="22"/>
      <c r="LTB44" s="22"/>
      <c r="LTC44" s="22"/>
      <c r="LTD44" s="22"/>
      <c r="LTE44" s="22"/>
      <c r="LTF44" s="22"/>
      <c r="LTG44" s="22"/>
      <c r="LTH44" s="22"/>
      <c r="LTI44" s="22"/>
      <c r="LTJ44" s="22"/>
      <c r="LTK44" s="22"/>
      <c r="LTL44" s="22"/>
      <c r="LTM44" s="22"/>
      <c r="LTN44" s="22"/>
      <c r="LTO44" s="22"/>
      <c r="LTP44" s="22"/>
      <c r="LTQ44" s="22"/>
      <c r="LTR44" s="22"/>
      <c r="LTS44" s="22"/>
      <c r="LTT44" s="22"/>
      <c r="LTU44" s="22"/>
      <c r="LTV44" s="22"/>
      <c r="LTW44" s="22"/>
      <c r="LTX44" s="22"/>
      <c r="LTY44" s="22"/>
      <c r="LTZ44" s="22"/>
      <c r="LUA44" s="22"/>
      <c r="LUB44" s="22"/>
      <c r="LUC44" s="22"/>
      <c r="LUD44" s="22"/>
      <c r="LUE44" s="22"/>
      <c r="LUF44" s="22"/>
      <c r="LUG44" s="22"/>
      <c r="LUH44" s="22"/>
      <c r="LUI44" s="22"/>
      <c r="LUJ44" s="22"/>
      <c r="LUK44" s="22"/>
      <c r="LUL44" s="22"/>
      <c r="LUM44" s="22"/>
      <c r="LUN44" s="22"/>
      <c r="LUO44" s="22"/>
      <c r="LUP44" s="22"/>
      <c r="LUQ44" s="22"/>
      <c r="LUR44" s="22"/>
      <c r="LUS44" s="22"/>
      <c r="LUT44" s="22"/>
      <c r="LUU44" s="22"/>
      <c r="LUV44" s="22"/>
      <c r="LUW44" s="22"/>
      <c r="LUX44" s="22"/>
      <c r="LUY44" s="22"/>
      <c r="LUZ44" s="22"/>
      <c r="LVA44" s="22"/>
      <c r="LVB44" s="22"/>
      <c r="LVC44" s="22"/>
      <c r="LVD44" s="22"/>
      <c r="LVE44" s="22"/>
      <c r="LVF44" s="22"/>
      <c r="LVG44" s="22"/>
      <c r="LVH44" s="22"/>
      <c r="LVI44" s="22"/>
      <c r="LVJ44" s="22"/>
      <c r="LVK44" s="22"/>
      <c r="LVL44" s="22"/>
      <c r="LVM44" s="22"/>
      <c r="LVN44" s="22"/>
      <c r="LVO44" s="22"/>
      <c r="LVP44" s="22"/>
      <c r="LVQ44" s="22"/>
      <c r="LVR44" s="22"/>
      <c r="LVS44" s="22"/>
      <c r="LVT44" s="22"/>
      <c r="LVU44" s="22"/>
      <c r="LVV44" s="22"/>
      <c r="LVW44" s="22"/>
      <c r="LVX44" s="22"/>
      <c r="LVY44" s="22"/>
      <c r="LVZ44" s="22"/>
      <c r="LWA44" s="22"/>
      <c r="LWB44" s="22"/>
      <c r="LWC44" s="22"/>
      <c r="LWD44" s="22"/>
      <c r="LWE44" s="22"/>
      <c r="LWF44" s="22"/>
      <c r="LWG44" s="22"/>
      <c r="LWH44" s="22"/>
      <c r="LWI44" s="22"/>
      <c r="LWJ44" s="22"/>
      <c r="LWK44" s="22"/>
      <c r="LWL44" s="22"/>
      <c r="LWM44" s="22"/>
      <c r="LWN44" s="22"/>
      <c r="LWO44" s="22"/>
      <c r="LWP44" s="22"/>
      <c r="LWQ44" s="22"/>
      <c r="LWR44" s="22"/>
      <c r="LWS44" s="22"/>
      <c r="LWT44" s="22"/>
      <c r="LWU44" s="22"/>
      <c r="LWV44" s="22"/>
      <c r="LWW44" s="22"/>
      <c r="LWX44" s="22"/>
      <c r="LWY44" s="22"/>
      <c r="LWZ44" s="22"/>
      <c r="LXA44" s="22"/>
      <c r="LXB44" s="22"/>
      <c r="LXC44" s="22"/>
      <c r="LXD44" s="22"/>
      <c r="LXE44" s="22"/>
      <c r="LXF44" s="22"/>
      <c r="LXG44" s="22"/>
      <c r="LXH44" s="22"/>
      <c r="LXI44" s="22"/>
      <c r="LXJ44" s="22"/>
      <c r="LXK44" s="22"/>
      <c r="LXL44" s="22"/>
      <c r="LXM44" s="22"/>
      <c r="LXN44" s="22"/>
      <c r="LXO44" s="22"/>
      <c r="LXP44" s="22"/>
      <c r="LXQ44" s="22"/>
      <c r="LXR44" s="22"/>
      <c r="LXS44" s="22"/>
      <c r="LXT44" s="22"/>
      <c r="LXU44" s="22"/>
      <c r="LXV44" s="22"/>
      <c r="LXW44" s="22"/>
      <c r="LXX44" s="22"/>
      <c r="LXY44" s="22"/>
      <c r="LXZ44" s="22"/>
      <c r="LYA44" s="22"/>
      <c r="LYB44" s="22"/>
      <c r="LYC44" s="22"/>
      <c r="LYD44" s="22"/>
      <c r="LYE44" s="22"/>
      <c r="LYF44" s="22"/>
      <c r="LYG44" s="22"/>
      <c r="LYH44" s="22"/>
      <c r="LYI44" s="22"/>
      <c r="LYJ44" s="22"/>
      <c r="LYK44" s="22"/>
      <c r="LYL44" s="22"/>
      <c r="LYM44" s="22"/>
      <c r="LYN44" s="22"/>
      <c r="LYO44" s="22"/>
      <c r="LYP44" s="22"/>
      <c r="LYQ44" s="22"/>
      <c r="LYR44" s="22"/>
      <c r="LYS44" s="22"/>
      <c r="LYT44" s="22"/>
      <c r="LYU44" s="22"/>
      <c r="LYV44" s="22"/>
      <c r="LYW44" s="22"/>
      <c r="LYX44" s="22"/>
      <c r="LYY44" s="22"/>
      <c r="LYZ44" s="22"/>
      <c r="LZA44" s="22"/>
      <c r="LZB44" s="22"/>
      <c r="LZC44" s="22"/>
      <c r="LZD44" s="22"/>
      <c r="LZE44" s="22"/>
      <c r="LZF44" s="22"/>
      <c r="LZG44" s="22"/>
      <c r="LZH44" s="22"/>
      <c r="LZI44" s="22"/>
      <c r="LZJ44" s="22"/>
      <c r="LZK44" s="22"/>
      <c r="LZL44" s="22"/>
      <c r="LZM44" s="22"/>
      <c r="LZN44" s="22"/>
      <c r="LZO44" s="22"/>
      <c r="LZP44" s="22"/>
      <c r="LZQ44" s="22"/>
      <c r="LZR44" s="22"/>
      <c r="LZS44" s="22"/>
      <c r="LZT44" s="22"/>
      <c r="LZU44" s="22"/>
      <c r="LZV44" s="22"/>
      <c r="LZW44" s="22"/>
      <c r="LZX44" s="22"/>
      <c r="LZY44" s="22"/>
      <c r="LZZ44" s="22"/>
      <c r="MAA44" s="22"/>
      <c r="MAB44" s="22"/>
      <c r="MAC44" s="22"/>
      <c r="MAD44" s="22"/>
      <c r="MAE44" s="22"/>
      <c r="MAF44" s="22"/>
      <c r="MAG44" s="22"/>
      <c r="MAH44" s="22"/>
      <c r="MAI44" s="22"/>
      <c r="MAJ44" s="22"/>
      <c r="MAK44" s="22"/>
      <c r="MAL44" s="22"/>
      <c r="MAM44" s="22"/>
      <c r="MAN44" s="22"/>
      <c r="MAO44" s="22"/>
      <c r="MAP44" s="22"/>
      <c r="MAQ44" s="22"/>
      <c r="MAR44" s="22"/>
      <c r="MAS44" s="22"/>
      <c r="MAT44" s="22"/>
      <c r="MAU44" s="22"/>
      <c r="MAV44" s="22"/>
      <c r="MAW44" s="22"/>
      <c r="MAX44" s="22"/>
      <c r="MAY44" s="22"/>
      <c r="MAZ44" s="22"/>
      <c r="MBA44" s="22"/>
      <c r="MBB44" s="22"/>
      <c r="MBC44" s="22"/>
      <c r="MBD44" s="22"/>
      <c r="MBE44" s="22"/>
      <c r="MBF44" s="22"/>
      <c r="MBG44" s="22"/>
      <c r="MBH44" s="22"/>
      <c r="MBI44" s="22"/>
      <c r="MBJ44" s="22"/>
      <c r="MBK44" s="22"/>
      <c r="MBL44" s="22"/>
      <c r="MBM44" s="22"/>
      <c r="MBN44" s="22"/>
      <c r="MBO44" s="22"/>
      <c r="MBP44" s="22"/>
      <c r="MBQ44" s="22"/>
      <c r="MBR44" s="22"/>
      <c r="MBS44" s="22"/>
      <c r="MBT44" s="22"/>
      <c r="MBU44" s="22"/>
      <c r="MBV44" s="22"/>
      <c r="MBW44" s="22"/>
      <c r="MBX44" s="22"/>
      <c r="MBY44" s="22"/>
      <c r="MBZ44" s="22"/>
      <c r="MCA44" s="22"/>
      <c r="MCB44" s="22"/>
      <c r="MCC44" s="22"/>
      <c r="MCD44" s="22"/>
      <c r="MCE44" s="22"/>
      <c r="MCF44" s="22"/>
      <c r="MCG44" s="22"/>
      <c r="MCH44" s="22"/>
      <c r="MCI44" s="22"/>
      <c r="MCJ44" s="22"/>
      <c r="MCK44" s="22"/>
      <c r="MCL44" s="22"/>
      <c r="MCM44" s="22"/>
      <c r="MCN44" s="22"/>
      <c r="MCO44" s="22"/>
      <c r="MCP44" s="22"/>
      <c r="MCQ44" s="22"/>
      <c r="MCR44" s="22"/>
      <c r="MCS44" s="22"/>
      <c r="MCT44" s="22"/>
      <c r="MCU44" s="22"/>
      <c r="MCV44" s="22"/>
      <c r="MCW44" s="22"/>
      <c r="MCX44" s="22"/>
      <c r="MCY44" s="22"/>
      <c r="MCZ44" s="22"/>
      <c r="MDA44" s="22"/>
      <c r="MDB44" s="22"/>
      <c r="MDC44" s="22"/>
      <c r="MDD44" s="22"/>
      <c r="MDE44" s="22"/>
      <c r="MDF44" s="22"/>
      <c r="MDG44" s="22"/>
      <c r="MDH44" s="22"/>
      <c r="MDI44" s="22"/>
      <c r="MDJ44" s="22"/>
      <c r="MDK44" s="22"/>
      <c r="MDL44" s="22"/>
      <c r="MDM44" s="22"/>
      <c r="MDN44" s="22"/>
      <c r="MDO44" s="22"/>
      <c r="MDP44" s="22"/>
      <c r="MDQ44" s="22"/>
      <c r="MDR44" s="22"/>
      <c r="MDS44" s="22"/>
      <c r="MDT44" s="22"/>
      <c r="MDU44" s="22"/>
      <c r="MDV44" s="22"/>
      <c r="MDW44" s="22"/>
      <c r="MDX44" s="22"/>
      <c r="MDY44" s="22"/>
      <c r="MDZ44" s="22"/>
      <c r="MEA44" s="22"/>
      <c r="MEB44" s="22"/>
      <c r="MEC44" s="22"/>
      <c r="MED44" s="22"/>
      <c r="MEE44" s="22"/>
      <c r="MEF44" s="22"/>
      <c r="MEG44" s="22"/>
      <c r="MEH44" s="22"/>
      <c r="MEI44" s="22"/>
      <c r="MEJ44" s="22"/>
      <c r="MEK44" s="22"/>
      <c r="MEL44" s="22"/>
      <c r="MEM44" s="22"/>
      <c r="MEN44" s="22"/>
      <c r="MEO44" s="22"/>
      <c r="MEP44" s="22"/>
      <c r="MEQ44" s="22"/>
      <c r="MER44" s="22"/>
      <c r="MES44" s="22"/>
      <c r="MET44" s="22"/>
      <c r="MEU44" s="22"/>
      <c r="MEV44" s="22"/>
      <c r="MEW44" s="22"/>
      <c r="MEX44" s="22"/>
      <c r="MEY44" s="22"/>
      <c r="MEZ44" s="22"/>
      <c r="MFA44" s="22"/>
      <c r="MFB44" s="22"/>
      <c r="MFC44" s="22"/>
      <c r="MFD44" s="22"/>
      <c r="MFE44" s="22"/>
      <c r="MFF44" s="22"/>
      <c r="MFG44" s="22"/>
      <c r="MFH44" s="22"/>
      <c r="MFI44" s="22"/>
      <c r="MFJ44" s="22"/>
      <c r="MFK44" s="22"/>
      <c r="MFL44" s="22"/>
      <c r="MFM44" s="22"/>
      <c r="MFN44" s="22"/>
      <c r="MFO44" s="22"/>
      <c r="MFP44" s="22"/>
      <c r="MFQ44" s="22"/>
      <c r="MFR44" s="22"/>
      <c r="MFS44" s="22"/>
      <c r="MFT44" s="22"/>
      <c r="MFU44" s="22"/>
      <c r="MFV44" s="22"/>
      <c r="MFW44" s="22"/>
      <c r="MFX44" s="22"/>
      <c r="MFY44" s="22"/>
      <c r="MFZ44" s="22"/>
      <c r="MGA44" s="22"/>
      <c r="MGB44" s="22"/>
      <c r="MGC44" s="22"/>
      <c r="MGD44" s="22"/>
      <c r="MGE44" s="22"/>
      <c r="MGF44" s="22"/>
      <c r="MGG44" s="22"/>
      <c r="MGH44" s="22"/>
      <c r="MGI44" s="22"/>
      <c r="MGJ44" s="22"/>
      <c r="MGK44" s="22"/>
      <c r="MGL44" s="22"/>
      <c r="MGM44" s="22"/>
      <c r="MGN44" s="22"/>
      <c r="MGO44" s="22"/>
      <c r="MGP44" s="22"/>
      <c r="MGQ44" s="22"/>
      <c r="MGR44" s="22"/>
      <c r="MGS44" s="22"/>
      <c r="MGT44" s="22"/>
      <c r="MGU44" s="22"/>
      <c r="MGV44" s="22"/>
      <c r="MGW44" s="22"/>
      <c r="MGX44" s="22"/>
      <c r="MGY44" s="22"/>
      <c r="MGZ44" s="22"/>
      <c r="MHA44" s="22"/>
      <c r="MHB44" s="22"/>
      <c r="MHC44" s="22"/>
      <c r="MHD44" s="22"/>
      <c r="MHE44" s="22"/>
      <c r="MHF44" s="22"/>
      <c r="MHG44" s="22"/>
      <c r="MHH44" s="22"/>
      <c r="MHI44" s="22"/>
      <c r="MHJ44" s="22"/>
      <c r="MHK44" s="22"/>
      <c r="MHL44" s="22"/>
      <c r="MHM44" s="22"/>
      <c r="MHN44" s="22"/>
      <c r="MHO44" s="22"/>
      <c r="MHP44" s="22"/>
      <c r="MHQ44" s="22"/>
      <c r="MHR44" s="22"/>
      <c r="MHS44" s="22"/>
      <c r="MHT44" s="22"/>
      <c r="MHU44" s="22"/>
      <c r="MHV44" s="22"/>
      <c r="MHW44" s="22"/>
      <c r="MHX44" s="22"/>
      <c r="MHY44" s="22"/>
      <c r="MHZ44" s="22"/>
      <c r="MIA44" s="22"/>
      <c r="MIB44" s="22"/>
      <c r="MIC44" s="22"/>
      <c r="MID44" s="22"/>
      <c r="MIE44" s="22"/>
      <c r="MIF44" s="22"/>
      <c r="MIG44" s="22"/>
      <c r="MIH44" s="22"/>
      <c r="MII44" s="22"/>
      <c r="MIJ44" s="22"/>
      <c r="MIK44" s="22"/>
      <c r="MIL44" s="22"/>
      <c r="MIM44" s="22"/>
      <c r="MIN44" s="22"/>
      <c r="MIO44" s="22"/>
      <c r="MIP44" s="22"/>
      <c r="MIQ44" s="22"/>
      <c r="MIR44" s="22"/>
      <c r="MIS44" s="22"/>
      <c r="MIT44" s="22"/>
      <c r="MIU44" s="22"/>
      <c r="MIV44" s="22"/>
      <c r="MIW44" s="22"/>
      <c r="MIX44" s="22"/>
      <c r="MIY44" s="22"/>
      <c r="MIZ44" s="22"/>
      <c r="MJA44" s="22"/>
      <c r="MJB44" s="22"/>
      <c r="MJC44" s="22"/>
      <c r="MJD44" s="22"/>
      <c r="MJE44" s="22"/>
      <c r="MJF44" s="22"/>
      <c r="MJG44" s="22"/>
      <c r="MJH44" s="22"/>
      <c r="MJI44" s="22"/>
      <c r="MJJ44" s="22"/>
      <c r="MJK44" s="22"/>
      <c r="MJL44" s="22"/>
      <c r="MJM44" s="22"/>
      <c r="MJN44" s="22"/>
      <c r="MJO44" s="22"/>
      <c r="MJP44" s="22"/>
      <c r="MJQ44" s="22"/>
      <c r="MJR44" s="22"/>
      <c r="MJS44" s="22"/>
      <c r="MJT44" s="22"/>
      <c r="MJU44" s="22"/>
      <c r="MJV44" s="22"/>
      <c r="MJW44" s="22"/>
      <c r="MJX44" s="22"/>
      <c r="MJY44" s="22"/>
      <c r="MJZ44" s="22"/>
      <c r="MKA44" s="22"/>
      <c r="MKB44" s="22"/>
      <c r="MKC44" s="22"/>
      <c r="MKD44" s="22"/>
      <c r="MKE44" s="22"/>
      <c r="MKF44" s="22"/>
      <c r="MKG44" s="22"/>
      <c r="MKH44" s="22"/>
      <c r="MKI44" s="22"/>
      <c r="MKJ44" s="22"/>
      <c r="MKK44" s="22"/>
      <c r="MKL44" s="22"/>
      <c r="MKM44" s="22"/>
      <c r="MKN44" s="22"/>
      <c r="MKO44" s="22"/>
      <c r="MKP44" s="22"/>
      <c r="MKQ44" s="22"/>
      <c r="MKR44" s="22"/>
      <c r="MKS44" s="22"/>
      <c r="MKT44" s="22"/>
      <c r="MKU44" s="22"/>
      <c r="MKV44" s="22"/>
      <c r="MKW44" s="22"/>
      <c r="MKX44" s="22"/>
      <c r="MKY44" s="22"/>
      <c r="MKZ44" s="22"/>
      <c r="MLA44" s="22"/>
      <c r="MLB44" s="22"/>
      <c r="MLC44" s="22"/>
      <c r="MLD44" s="22"/>
      <c r="MLE44" s="22"/>
      <c r="MLF44" s="22"/>
      <c r="MLG44" s="22"/>
      <c r="MLH44" s="22"/>
      <c r="MLI44" s="22"/>
      <c r="MLJ44" s="22"/>
      <c r="MLK44" s="22"/>
      <c r="MLL44" s="22"/>
      <c r="MLM44" s="22"/>
      <c r="MLN44" s="22"/>
      <c r="MLO44" s="22"/>
      <c r="MLP44" s="22"/>
      <c r="MLQ44" s="22"/>
      <c r="MLR44" s="22"/>
      <c r="MLS44" s="22"/>
      <c r="MLT44" s="22"/>
      <c r="MLU44" s="22"/>
      <c r="MLV44" s="22"/>
      <c r="MLW44" s="22"/>
      <c r="MLX44" s="22"/>
      <c r="MLY44" s="22"/>
      <c r="MLZ44" s="22"/>
      <c r="MMA44" s="22"/>
      <c r="MMB44" s="22"/>
      <c r="MMC44" s="22"/>
      <c r="MMD44" s="22"/>
      <c r="MME44" s="22"/>
      <c r="MMF44" s="22"/>
      <c r="MMG44" s="22"/>
      <c r="MMH44" s="22"/>
      <c r="MMI44" s="22"/>
      <c r="MMJ44" s="22"/>
      <c r="MMK44" s="22"/>
      <c r="MML44" s="22"/>
      <c r="MMM44" s="22"/>
      <c r="MMN44" s="22"/>
      <c r="MMO44" s="22"/>
      <c r="MMP44" s="22"/>
      <c r="MMQ44" s="22"/>
      <c r="MMR44" s="22"/>
      <c r="MMS44" s="22"/>
      <c r="MMT44" s="22"/>
      <c r="MMU44" s="22"/>
      <c r="MMV44" s="22"/>
      <c r="MMW44" s="22"/>
      <c r="MMX44" s="22"/>
      <c r="MMY44" s="22"/>
      <c r="MMZ44" s="22"/>
      <c r="MNA44" s="22"/>
      <c r="MNB44" s="22"/>
      <c r="MNC44" s="22"/>
      <c r="MND44" s="22"/>
      <c r="MNE44" s="22"/>
      <c r="MNF44" s="22"/>
      <c r="MNG44" s="22"/>
      <c r="MNH44" s="22"/>
      <c r="MNI44" s="22"/>
      <c r="MNJ44" s="22"/>
      <c r="MNK44" s="22"/>
      <c r="MNL44" s="22"/>
      <c r="MNM44" s="22"/>
      <c r="MNN44" s="22"/>
      <c r="MNO44" s="22"/>
      <c r="MNP44" s="22"/>
      <c r="MNQ44" s="22"/>
      <c r="MNR44" s="22"/>
      <c r="MNS44" s="22"/>
      <c r="MNT44" s="22"/>
      <c r="MNU44" s="22"/>
      <c r="MNV44" s="22"/>
      <c r="MNW44" s="22"/>
      <c r="MNX44" s="22"/>
      <c r="MNY44" s="22"/>
      <c r="MNZ44" s="22"/>
      <c r="MOA44" s="22"/>
      <c r="MOB44" s="22"/>
      <c r="MOC44" s="22"/>
      <c r="MOD44" s="22"/>
      <c r="MOE44" s="22"/>
      <c r="MOF44" s="22"/>
      <c r="MOG44" s="22"/>
      <c r="MOH44" s="22"/>
      <c r="MOI44" s="22"/>
      <c r="MOJ44" s="22"/>
      <c r="MOK44" s="22"/>
      <c r="MOL44" s="22"/>
      <c r="MOM44" s="22"/>
      <c r="MON44" s="22"/>
      <c r="MOO44" s="22"/>
      <c r="MOP44" s="22"/>
      <c r="MOQ44" s="22"/>
      <c r="MOR44" s="22"/>
      <c r="MOS44" s="22"/>
      <c r="MOT44" s="22"/>
      <c r="MOU44" s="22"/>
      <c r="MOV44" s="22"/>
      <c r="MOW44" s="22"/>
      <c r="MOX44" s="22"/>
      <c r="MOY44" s="22"/>
      <c r="MOZ44" s="22"/>
      <c r="MPA44" s="22"/>
      <c r="MPB44" s="22"/>
      <c r="MPC44" s="22"/>
      <c r="MPD44" s="22"/>
      <c r="MPE44" s="22"/>
      <c r="MPF44" s="22"/>
      <c r="MPG44" s="22"/>
      <c r="MPH44" s="22"/>
      <c r="MPI44" s="22"/>
      <c r="MPJ44" s="22"/>
      <c r="MPK44" s="22"/>
      <c r="MPL44" s="22"/>
      <c r="MPM44" s="22"/>
      <c r="MPN44" s="22"/>
      <c r="MPO44" s="22"/>
      <c r="MPP44" s="22"/>
      <c r="MPQ44" s="22"/>
      <c r="MPR44" s="22"/>
      <c r="MPS44" s="22"/>
      <c r="MPT44" s="22"/>
      <c r="MPU44" s="22"/>
      <c r="MPV44" s="22"/>
      <c r="MPW44" s="22"/>
      <c r="MPX44" s="22"/>
      <c r="MPY44" s="22"/>
      <c r="MPZ44" s="22"/>
      <c r="MQA44" s="22"/>
      <c r="MQB44" s="22"/>
      <c r="MQC44" s="22"/>
      <c r="MQD44" s="22"/>
      <c r="MQE44" s="22"/>
      <c r="MQF44" s="22"/>
      <c r="MQG44" s="22"/>
      <c r="MQH44" s="22"/>
      <c r="MQI44" s="22"/>
      <c r="MQJ44" s="22"/>
      <c r="MQK44" s="22"/>
      <c r="MQL44" s="22"/>
      <c r="MQM44" s="22"/>
      <c r="MQN44" s="22"/>
      <c r="MQO44" s="22"/>
      <c r="MQP44" s="22"/>
      <c r="MQQ44" s="22"/>
      <c r="MQR44" s="22"/>
      <c r="MQS44" s="22"/>
      <c r="MQT44" s="22"/>
      <c r="MQU44" s="22"/>
      <c r="MQV44" s="22"/>
      <c r="MQW44" s="22"/>
      <c r="MQX44" s="22"/>
      <c r="MQY44" s="22"/>
      <c r="MQZ44" s="22"/>
      <c r="MRA44" s="22"/>
      <c r="MRB44" s="22"/>
      <c r="MRC44" s="22"/>
      <c r="MRD44" s="22"/>
      <c r="MRE44" s="22"/>
      <c r="MRF44" s="22"/>
      <c r="MRG44" s="22"/>
      <c r="MRH44" s="22"/>
      <c r="MRI44" s="22"/>
      <c r="MRJ44" s="22"/>
      <c r="MRK44" s="22"/>
      <c r="MRL44" s="22"/>
      <c r="MRM44" s="22"/>
      <c r="MRN44" s="22"/>
      <c r="MRO44" s="22"/>
      <c r="MRP44" s="22"/>
      <c r="MRQ44" s="22"/>
      <c r="MRR44" s="22"/>
      <c r="MRS44" s="22"/>
      <c r="MRT44" s="22"/>
      <c r="MRU44" s="22"/>
      <c r="MRV44" s="22"/>
      <c r="MRW44" s="22"/>
      <c r="MRX44" s="22"/>
      <c r="MRY44" s="22"/>
      <c r="MRZ44" s="22"/>
      <c r="MSA44" s="22"/>
      <c r="MSB44" s="22"/>
      <c r="MSC44" s="22"/>
      <c r="MSD44" s="22"/>
      <c r="MSE44" s="22"/>
      <c r="MSF44" s="22"/>
      <c r="MSG44" s="22"/>
      <c r="MSH44" s="22"/>
      <c r="MSI44" s="22"/>
      <c r="MSJ44" s="22"/>
      <c r="MSK44" s="22"/>
      <c r="MSL44" s="22"/>
      <c r="MSM44" s="22"/>
      <c r="MSN44" s="22"/>
      <c r="MSO44" s="22"/>
      <c r="MSP44" s="22"/>
      <c r="MSQ44" s="22"/>
      <c r="MSR44" s="22"/>
      <c r="MSS44" s="22"/>
      <c r="MST44" s="22"/>
      <c r="MSU44" s="22"/>
      <c r="MSV44" s="22"/>
      <c r="MSW44" s="22"/>
      <c r="MSX44" s="22"/>
      <c r="MSY44" s="22"/>
      <c r="MSZ44" s="22"/>
      <c r="MTA44" s="22"/>
      <c r="MTB44" s="22"/>
      <c r="MTC44" s="22"/>
      <c r="MTD44" s="22"/>
      <c r="MTE44" s="22"/>
      <c r="MTF44" s="22"/>
      <c r="MTG44" s="22"/>
      <c r="MTH44" s="22"/>
      <c r="MTI44" s="22"/>
      <c r="MTJ44" s="22"/>
      <c r="MTK44" s="22"/>
      <c r="MTL44" s="22"/>
      <c r="MTM44" s="22"/>
      <c r="MTN44" s="22"/>
      <c r="MTO44" s="22"/>
      <c r="MTP44" s="22"/>
      <c r="MTQ44" s="22"/>
      <c r="MTR44" s="22"/>
      <c r="MTS44" s="22"/>
      <c r="MTT44" s="22"/>
      <c r="MTU44" s="22"/>
      <c r="MTV44" s="22"/>
      <c r="MTW44" s="22"/>
      <c r="MTX44" s="22"/>
      <c r="MTY44" s="22"/>
      <c r="MTZ44" s="22"/>
      <c r="MUA44" s="22"/>
      <c r="MUB44" s="22"/>
      <c r="MUC44" s="22"/>
      <c r="MUD44" s="22"/>
      <c r="MUE44" s="22"/>
      <c r="MUF44" s="22"/>
      <c r="MUG44" s="22"/>
      <c r="MUH44" s="22"/>
      <c r="MUI44" s="22"/>
      <c r="MUJ44" s="22"/>
      <c r="MUK44" s="22"/>
      <c r="MUL44" s="22"/>
      <c r="MUM44" s="22"/>
      <c r="MUN44" s="22"/>
      <c r="MUO44" s="22"/>
      <c r="MUP44" s="22"/>
      <c r="MUQ44" s="22"/>
      <c r="MUR44" s="22"/>
      <c r="MUS44" s="22"/>
      <c r="MUT44" s="22"/>
      <c r="MUU44" s="22"/>
      <c r="MUV44" s="22"/>
      <c r="MUW44" s="22"/>
      <c r="MUX44" s="22"/>
      <c r="MUY44" s="22"/>
      <c r="MUZ44" s="22"/>
      <c r="MVA44" s="22"/>
      <c r="MVB44" s="22"/>
      <c r="MVC44" s="22"/>
      <c r="MVD44" s="22"/>
      <c r="MVE44" s="22"/>
      <c r="MVF44" s="22"/>
      <c r="MVG44" s="22"/>
      <c r="MVH44" s="22"/>
      <c r="MVI44" s="22"/>
      <c r="MVJ44" s="22"/>
      <c r="MVK44" s="22"/>
      <c r="MVL44" s="22"/>
      <c r="MVM44" s="22"/>
      <c r="MVN44" s="22"/>
      <c r="MVO44" s="22"/>
      <c r="MVP44" s="22"/>
      <c r="MVQ44" s="22"/>
      <c r="MVR44" s="22"/>
      <c r="MVS44" s="22"/>
      <c r="MVT44" s="22"/>
      <c r="MVU44" s="22"/>
      <c r="MVV44" s="22"/>
      <c r="MVW44" s="22"/>
      <c r="MVX44" s="22"/>
      <c r="MVY44" s="22"/>
      <c r="MVZ44" s="22"/>
      <c r="MWA44" s="22"/>
      <c r="MWB44" s="22"/>
      <c r="MWC44" s="22"/>
      <c r="MWD44" s="22"/>
      <c r="MWE44" s="22"/>
      <c r="MWF44" s="22"/>
      <c r="MWG44" s="22"/>
      <c r="MWH44" s="22"/>
      <c r="MWI44" s="22"/>
      <c r="MWJ44" s="22"/>
      <c r="MWK44" s="22"/>
      <c r="MWL44" s="22"/>
      <c r="MWM44" s="22"/>
      <c r="MWN44" s="22"/>
      <c r="MWO44" s="22"/>
      <c r="MWP44" s="22"/>
      <c r="MWQ44" s="22"/>
      <c r="MWR44" s="22"/>
      <c r="MWS44" s="22"/>
      <c r="MWT44" s="22"/>
      <c r="MWU44" s="22"/>
      <c r="MWV44" s="22"/>
      <c r="MWW44" s="22"/>
      <c r="MWX44" s="22"/>
      <c r="MWY44" s="22"/>
      <c r="MWZ44" s="22"/>
      <c r="MXA44" s="22"/>
      <c r="MXB44" s="22"/>
      <c r="MXC44" s="22"/>
      <c r="MXD44" s="22"/>
      <c r="MXE44" s="22"/>
      <c r="MXF44" s="22"/>
      <c r="MXG44" s="22"/>
      <c r="MXH44" s="22"/>
      <c r="MXI44" s="22"/>
      <c r="MXJ44" s="22"/>
      <c r="MXK44" s="22"/>
      <c r="MXL44" s="22"/>
      <c r="MXM44" s="22"/>
      <c r="MXN44" s="22"/>
      <c r="MXO44" s="22"/>
      <c r="MXP44" s="22"/>
      <c r="MXQ44" s="22"/>
      <c r="MXR44" s="22"/>
      <c r="MXS44" s="22"/>
      <c r="MXT44" s="22"/>
      <c r="MXU44" s="22"/>
      <c r="MXV44" s="22"/>
      <c r="MXW44" s="22"/>
      <c r="MXX44" s="22"/>
      <c r="MXY44" s="22"/>
      <c r="MXZ44" s="22"/>
      <c r="MYA44" s="22"/>
      <c r="MYB44" s="22"/>
      <c r="MYC44" s="22"/>
      <c r="MYD44" s="22"/>
      <c r="MYE44" s="22"/>
      <c r="MYF44" s="22"/>
      <c r="MYG44" s="22"/>
      <c r="MYH44" s="22"/>
      <c r="MYI44" s="22"/>
      <c r="MYJ44" s="22"/>
      <c r="MYK44" s="22"/>
      <c r="MYL44" s="22"/>
      <c r="MYM44" s="22"/>
      <c r="MYN44" s="22"/>
      <c r="MYO44" s="22"/>
      <c r="MYP44" s="22"/>
      <c r="MYQ44" s="22"/>
      <c r="MYR44" s="22"/>
      <c r="MYS44" s="22"/>
      <c r="MYT44" s="22"/>
      <c r="MYU44" s="22"/>
      <c r="MYV44" s="22"/>
      <c r="MYW44" s="22"/>
      <c r="MYX44" s="22"/>
      <c r="MYY44" s="22"/>
      <c r="MYZ44" s="22"/>
      <c r="MZA44" s="22"/>
      <c r="MZB44" s="22"/>
      <c r="MZC44" s="22"/>
      <c r="MZD44" s="22"/>
      <c r="MZE44" s="22"/>
      <c r="MZF44" s="22"/>
      <c r="MZG44" s="22"/>
      <c r="MZH44" s="22"/>
      <c r="MZI44" s="22"/>
      <c r="MZJ44" s="22"/>
      <c r="MZK44" s="22"/>
      <c r="MZL44" s="22"/>
      <c r="MZM44" s="22"/>
      <c r="MZN44" s="22"/>
      <c r="MZO44" s="22"/>
      <c r="MZP44" s="22"/>
      <c r="MZQ44" s="22"/>
      <c r="MZR44" s="22"/>
      <c r="MZS44" s="22"/>
      <c r="MZT44" s="22"/>
      <c r="MZU44" s="22"/>
      <c r="MZV44" s="22"/>
      <c r="MZW44" s="22"/>
      <c r="MZX44" s="22"/>
      <c r="MZY44" s="22"/>
      <c r="MZZ44" s="22"/>
      <c r="NAA44" s="22"/>
      <c r="NAB44" s="22"/>
      <c r="NAC44" s="22"/>
      <c r="NAD44" s="22"/>
      <c r="NAE44" s="22"/>
      <c r="NAF44" s="22"/>
      <c r="NAG44" s="22"/>
      <c r="NAH44" s="22"/>
      <c r="NAI44" s="22"/>
      <c r="NAJ44" s="22"/>
      <c r="NAK44" s="22"/>
      <c r="NAL44" s="22"/>
      <c r="NAM44" s="22"/>
      <c r="NAN44" s="22"/>
      <c r="NAO44" s="22"/>
      <c r="NAP44" s="22"/>
      <c r="NAQ44" s="22"/>
      <c r="NAR44" s="22"/>
      <c r="NAS44" s="22"/>
      <c r="NAT44" s="22"/>
      <c r="NAU44" s="22"/>
      <c r="NAV44" s="22"/>
      <c r="NAW44" s="22"/>
      <c r="NAX44" s="22"/>
      <c r="NAY44" s="22"/>
      <c r="NAZ44" s="22"/>
      <c r="NBA44" s="22"/>
      <c r="NBB44" s="22"/>
      <c r="NBC44" s="22"/>
      <c r="NBD44" s="22"/>
      <c r="NBE44" s="22"/>
      <c r="NBF44" s="22"/>
      <c r="NBG44" s="22"/>
      <c r="NBH44" s="22"/>
      <c r="NBI44" s="22"/>
      <c r="NBJ44" s="22"/>
      <c r="NBK44" s="22"/>
      <c r="NBL44" s="22"/>
      <c r="NBM44" s="22"/>
      <c r="NBN44" s="22"/>
      <c r="NBO44" s="22"/>
      <c r="NBP44" s="22"/>
      <c r="NBQ44" s="22"/>
      <c r="NBR44" s="22"/>
      <c r="NBS44" s="22"/>
      <c r="NBT44" s="22"/>
      <c r="NBU44" s="22"/>
      <c r="NBV44" s="22"/>
      <c r="NBW44" s="22"/>
      <c r="NBX44" s="22"/>
      <c r="NBY44" s="22"/>
      <c r="NBZ44" s="22"/>
      <c r="NCA44" s="22"/>
      <c r="NCB44" s="22"/>
      <c r="NCC44" s="22"/>
      <c r="NCD44" s="22"/>
      <c r="NCE44" s="22"/>
      <c r="NCF44" s="22"/>
      <c r="NCG44" s="22"/>
      <c r="NCH44" s="22"/>
      <c r="NCI44" s="22"/>
      <c r="NCJ44" s="22"/>
      <c r="NCK44" s="22"/>
      <c r="NCL44" s="22"/>
      <c r="NCM44" s="22"/>
      <c r="NCN44" s="22"/>
      <c r="NCO44" s="22"/>
      <c r="NCP44" s="22"/>
      <c r="NCQ44" s="22"/>
      <c r="NCR44" s="22"/>
      <c r="NCS44" s="22"/>
      <c r="NCT44" s="22"/>
      <c r="NCU44" s="22"/>
      <c r="NCV44" s="22"/>
      <c r="NCW44" s="22"/>
      <c r="NCX44" s="22"/>
      <c r="NCY44" s="22"/>
      <c r="NCZ44" s="22"/>
      <c r="NDA44" s="22"/>
      <c r="NDB44" s="22"/>
      <c r="NDC44" s="22"/>
      <c r="NDD44" s="22"/>
      <c r="NDE44" s="22"/>
      <c r="NDF44" s="22"/>
      <c r="NDG44" s="22"/>
      <c r="NDH44" s="22"/>
      <c r="NDI44" s="22"/>
      <c r="NDJ44" s="22"/>
      <c r="NDK44" s="22"/>
      <c r="NDL44" s="22"/>
      <c r="NDM44" s="22"/>
      <c r="NDN44" s="22"/>
      <c r="NDO44" s="22"/>
      <c r="NDP44" s="22"/>
      <c r="NDQ44" s="22"/>
      <c r="NDR44" s="22"/>
      <c r="NDS44" s="22"/>
      <c r="NDT44" s="22"/>
      <c r="NDU44" s="22"/>
      <c r="NDV44" s="22"/>
      <c r="NDW44" s="22"/>
      <c r="NDX44" s="22"/>
      <c r="NDY44" s="22"/>
      <c r="NDZ44" s="22"/>
      <c r="NEA44" s="22"/>
      <c r="NEB44" s="22"/>
      <c r="NEC44" s="22"/>
      <c r="NED44" s="22"/>
      <c r="NEE44" s="22"/>
      <c r="NEF44" s="22"/>
      <c r="NEG44" s="22"/>
      <c r="NEH44" s="22"/>
      <c r="NEI44" s="22"/>
      <c r="NEJ44" s="22"/>
      <c r="NEK44" s="22"/>
      <c r="NEL44" s="22"/>
      <c r="NEM44" s="22"/>
      <c r="NEN44" s="22"/>
      <c r="NEO44" s="22"/>
      <c r="NEP44" s="22"/>
      <c r="NEQ44" s="22"/>
      <c r="NER44" s="22"/>
      <c r="NES44" s="22"/>
      <c r="NET44" s="22"/>
      <c r="NEU44" s="22"/>
      <c r="NEV44" s="22"/>
      <c r="NEW44" s="22"/>
      <c r="NEX44" s="22"/>
      <c r="NEY44" s="22"/>
      <c r="NEZ44" s="22"/>
      <c r="NFA44" s="22"/>
      <c r="NFB44" s="22"/>
      <c r="NFC44" s="22"/>
      <c r="NFD44" s="22"/>
      <c r="NFE44" s="22"/>
      <c r="NFF44" s="22"/>
      <c r="NFG44" s="22"/>
      <c r="NFH44" s="22"/>
      <c r="NFI44" s="22"/>
      <c r="NFJ44" s="22"/>
      <c r="NFK44" s="22"/>
      <c r="NFL44" s="22"/>
      <c r="NFM44" s="22"/>
      <c r="NFN44" s="22"/>
      <c r="NFO44" s="22"/>
      <c r="NFP44" s="22"/>
      <c r="NFQ44" s="22"/>
      <c r="NFR44" s="22"/>
      <c r="NFS44" s="22"/>
      <c r="NFT44" s="22"/>
      <c r="NFU44" s="22"/>
      <c r="NFV44" s="22"/>
      <c r="NFW44" s="22"/>
      <c r="NFX44" s="22"/>
      <c r="NFY44" s="22"/>
      <c r="NFZ44" s="22"/>
      <c r="NGA44" s="22"/>
      <c r="NGB44" s="22"/>
      <c r="NGC44" s="22"/>
      <c r="NGD44" s="22"/>
      <c r="NGE44" s="22"/>
      <c r="NGF44" s="22"/>
      <c r="NGG44" s="22"/>
      <c r="NGH44" s="22"/>
      <c r="NGI44" s="22"/>
      <c r="NGJ44" s="22"/>
      <c r="NGK44" s="22"/>
      <c r="NGL44" s="22"/>
      <c r="NGM44" s="22"/>
      <c r="NGN44" s="22"/>
      <c r="NGO44" s="22"/>
      <c r="NGP44" s="22"/>
      <c r="NGQ44" s="22"/>
      <c r="NGR44" s="22"/>
      <c r="NGS44" s="22"/>
      <c r="NGT44" s="22"/>
      <c r="NGU44" s="22"/>
      <c r="NGV44" s="22"/>
      <c r="NGW44" s="22"/>
      <c r="NGX44" s="22"/>
      <c r="NGY44" s="22"/>
      <c r="NGZ44" s="22"/>
      <c r="NHA44" s="22"/>
      <c r="NHB44" s="22"/>
      <c r="NHC44" s="22"/>
      <c r="NHD44" s="22"/>
      <c r="NHE44" s="22"/>
      <c r="NHF44" s="22"/>
      <c r="NHG44" s="22"/>
      <c r="NHH44" s="22"/>
      <c r="NHI44" s="22"/>
      <c r="NHJ44" s="22"/>
      <c r="NHK44" s="22"/>
      <c r="NHL44" s="22"/>
      <c r="NHM44" s="22"/>
      <c r="NHN44" s="22"/>
      <c r="NHO44" s="22"/>
      <c r="NHP44" s="22"/>
      <c r="NHQ44" s="22"/>
      <c r="NHR44" s="22"/>
      <c r="NHS44" s="22"/>
      <c r="NHT44" s="22"/>
      <c r="NHU44" s="22"/>
      <c r="NHV44" s="22"/>
      <c r="NHW44" s="22"/>
      <c r="NHX44" s="22"/>
      <c r="NHY44" s="22"/>
      <c r="NHZ44" s="22"/>
      <c r="NIA44" s="22"/>
      <c r="NIB44" s="22"/>
      <c r="NIC44" s="22"/>
      <c r="NID44" s="22"/>
      <c r="NIE44" s="22"/>
      <c r="NIF44" s="22"/>
      <c r="NIG44" s="22"/>
      <c r="NIH44" s="22"/>
      <c r="NII44" s="22"/>
      <c r="NIJ44" s="22"/>
      <c r="NIK44" s="22"/>
      <c r="NIL44" s="22"/>
      <c r="NIM44" s="22"/>
      <c r="NIN44" s="22"/>
      <c r="NIO44" s="22"/>
      <c r="NIP44" s="22"/>
      <c r="NIQ44" s="22"/>
      <c r="NIR44" s="22"/>
      <c r="NIS44" s="22"/>
      <c r="NIT44" s="22"/>
      <c r="NIU44" s="22"/>
      <c r="NIV44" s="22"/>
      <c r="NIW44" s="22"/>
      <c r="NIX44" s="22"/>
      <c r="NIY44" s="22"/>
      <c r="NIZ44" s="22"/>
      <c r="NJA44" s="22"/>
      <c r="NJB44" s="22"/>
      <c r="NJC44" s="22"/>
      <c r="NJD44" s="22"/>
      <c r="NJE44" s="22"/>
      <c r="NJF44" s="22"/>
      <c r="NJG44" s="22"/>
      <c r="NJH44" s="22"/>
      <c r="NJI44" s="22"/>
      <c r="NJJ44" s="22"/>
      <c r="NJK44" s="22"/>
      <c r="NJL44" s="22"/>
      <c r="NJM44" s="22"/>
      <c r="NJN44" s="22"/>
      <c r="NJO44" s="22"/>
      <c r="NJP44" s="22"/>
      <c r="NJQ44" s="22"/>
      <c r="NJR44" s="22"/>
      <c r="NJS44" s="22"/>
      <c r="NJT44" s="22"/>
      <c r="NJU44" s="22"/>
      <c r="NJV44" s="22"/>
      <c r="NJW44" s="22"/>
      <c r="NJX44" s="22"/>
      <c r="NJY44" s="22"/>
      <c r="NJZ44" s="22"/>
      <c r="NKA44" s="22"/>
      <c r="NKB44" s="22"/>
      <c r="NKC44" s="22"/>
      <c r="NKD44" s="22"/>
      <c r="NKE44" s="22"/>
      <c r="NKF44" s="22"/>
      <c r="NKG44" s="22"/>
      <c r="NKH44" s="22"/>
      <c r="NKI44" s="22"/>
      <c r="NKJ44" s="22"/>
      <c r="NKK44" s="22"/>
      <c r="NKL44" s="22"/>
      <c r="NKM44" s="22"/>
      <c r="NKN44" s="22"/>
      <c r="NKO44" s="22"/>
      <c r="NKP44" s="22"/>
      <c r="NKQ44" s="22"/>
      <c r="NKR44" s="22"/>
      <c r="NKS44" s="22"/>
      <c r="NKT44" s="22"/>
      <c r="NKU44" s="22"/>
      <c r="NKV44" s="22"/>
      <c r="NKW44" s="22"/>
      <c r="NKX44" s="22"/>
      <c r="NKY44" s="22"/>
      <c r="NKZ44" s="22"/>
      <c r="NLA44" s="22"/>
      <c r="NLB44" s="22"/>
      <c r="NLC44" s="22"/>
      <c r="NLD44" s="22"/>
      <c r="NLE44" s="22"/>
      <c r="NLF44" s="22"/>
      <c r="NLG44" s="22"/>
      <c r="NLH44" s="22"/>
      <c r="NLI44" s="22"/>
      <c r="NLJ44" s="22"/>
      <c r="NLK44" s="22"/>
      <c r="NLL44" s="22"/>
      <c r="NLM44" s="22"/>
      <c r="NLN44" s="22"/>
      <c r="NLO44" s="22"/>
      <c r="NLP44" s="22"/>
      <c r="NLQ44" s="22"/>
      <c r="NLR44" s="22"/>
      <c r="NLS44" s="22"/>
      <c r="NLT44" s="22"/>
      <c r="NLU44" s="22"/>
      <c r="NLV44" s="22"/>
      <c r="NLW44" s="22"/>
      <c r="NLX44" s="22"/>
      <c r="NLY44" s="22"/>
      <c r="NLZ44" s="22"/>
      <c r="NMA44" s="22"/>
      <c r="NMB44" s="22"/>
      <c r="NMC44" s="22"/>
      <c r="NMD44" s="22"/>
      <c r="NME44" s="22"/>
      <c r="NMF44" s="22"/>
      <c r="NMG44" s="22"/>
      <c r="NMH44" s="22"/>
      <c r="NMI44" s="22"/>
      <c r="NMJ44" s="22"/>
      <c r="NMK44" s="22"/>
      <c r="NML44" s="22"/>
      <c r="NMM44" s="22"/>
      <c r="NMN44" s="22"/>
      <c r="NMO44" s="22"/>
      <c r="NMP44" s="22"/>
      <c r="NMQ44" s="22"/>
      <c r="NMR44" s="22"/>
      <c r="NMS44" s="22"/>
      <c r="NMT44" s="22"/>
      <c r="NMU44" s="22"/>
      <c r="NMV44" s="22"/>
      <c r="NMW44" s="22"/>
      <c r="NMX44" s="22"/>
      <c r="NMY44" s="22"/>
      <c r="NMZ44" s="22"/>
      <c r="NNA44" s="22"/>
      <c r="NNB44" s="22"/>
      <c r="NNC44" s="22"/>
      <c r="NND44" s="22"/>
      <c r="NNE44" s="22"/>
      <c r="NNF44" s="22"/>
      <c r="NNG44" s="22"/>
      <c r="NNH44" s="22"/>
      <c r="NNI44" s="22"/>
      <c r="NNJ44" s="22"/>
      <c r="NNK44" s="22"/>
      <c r="NNL44" s="22"/>
      <c r="NNM44" s="22"/>
      <c r="NNN44" s="22"/>
      <c r="NNO44" s="22"/>
      <c r="NNP44" s="22"/>
      <c r="NNQ44" s="22"/>
      <c r="NNR44" s="22"/>
      <c r="NNS44" s="22"/>
      <c r="NNT44" s="22"/>
      <c r="NNU44" s="22"/>
      <c r="NNV44" s="22"/>
      <c r="NNW44" s="22"/>
      <c r="NNX44" s="22"/>
      <c r="NNY44" s="22"/>
      <c r="NNZ44" s="22"/>
      <c r="NOA44" s="22"/>
      <c r="NOB44" s="22"/>
      <c r="NOC44" s="22"/>
      <c r="NOD44" s="22"/>
      <c r="NOE44" s="22"/>
      <c r="NOF44" s="22"/>
      <c r="NOG44" s="22"/>
      <c r="NOH44" s="22"/>
      <c r="NOI44" s="22"/>
      <c r="NOJ44" s="22"/>
      <c r="NOK44" s="22"/>
      <c r="NOL44" s="22"/>
      <c r="NOM44" s="22"/>
      <c r="NON44" s="22"/>
      <c r="NOO44" s="22"/>
      <c r="NOP44" s="22"/>
      <c r="NOQ44" s="22"/>
      <c r="NOR44" s="22"/>
      <c r="NOS44" s="22"/>
      <c r="NOT44" s="22"/>
      <c r="NOU44" s="22"/>
      <c r="NOV44" s="22"/>
      <c r="NOW44" s="22"/>
      <c r="NOX44" s="22"/>
      <c r="NOY44" s="22"/>
      <c r="NOZ44" s="22"/>
      <c r="NPA44" s="22"/>
      <c r="NPB44" s="22"/>
      <c r="NPC44" s="22"/>
      <c r="NPD44" s="22"/>
      <c r="NPE44" s="22"/>
      <c r="NPF44" s="22"/>
      <c r="NPG44" s="22"/>
      <c r="NPH44" s="22"/>
      <c r="NPI44" s="22"/>
      <c r="NPJ44" s="22"/>
      <c r="NPK44" s="22"/>
      <c r="NPL44" s="22"/>
      <c r="NPM44" s="22"/>
      <c r="NPN44" s="22"/>
      <c r="NPO44" s="22"/>
      <c r="NPP44" s="22"/>
      <c r="NPQ44" s="22"/>
      <c r="NPR44" s="22"/>
      <c r="NPS44" s="22"/>
      <c r="NPT44" s="22"/>
      <c r="NPU44" s="22"/>
      <c r="NPV44" s="22"/>
      <c r="NPW44" s="22"/>
      <c r="NPX44" s="22"/>
      <c r="NPY44" s="22"/>
      <c r="NPZ44" s="22"/>
      <c r="NQA44" s="22"/>
      <c r="NQB44" s="22"/>
      <c r="NQC44" s="22"/>
      <c r="NQD44" s="22"/>
      <c r="NQE44" s="22"/>
      <c r="NQF44" s="22"/>
      <c r="NQG44" s="22"/>
      <c r="NQH44" s="22"/>
      <c r="NQI44" s="22"/>
      <c r="NQJ44" s="22"/>
      <c r="NQK44" s="22"/>
      <c r="NQL44" s="22"/>
      <c r="NQM44" s="22"/>
      <c r="NQN44" s="22"/>
      <c r="NQO44" s="22"/>
      <c r="NQP44" s="22"/>
      <c r="NQQ44" s="22"/>
      <c r="NQR44" s="22"/>
      <c r="NQS44" s="22"/>
      <c r="NQT44" s="22"/>
      <c r="NQU44" s="22"/>
      <c r="NQV44" s="22"/>
      <c r="NQW44" s="22"/>
      <c r="NQX44" s="22"/>
      <c r="NQY44" s="22"/>
      <c r="NQZ44" s="22"/>
      <c r="NRA44" s="22"/>
      <c r="NRB44" s="22"/>
      <c r="NRC44" s="22"/>
      <c r="NRD44" s="22"/>
      <c r="NRE44" s="22"/>
      <c r="NRF44" s="22"/>
      <c r="NRG44" s="22"/>
      <c r="NRH44" s="22"/>
      <c r="NRI44" s="22"/>
      <c r="NRJ44" s="22"/>
      <c r="NRK44" s="22"/>
      <c r="NRL44" s="22"/>
      <c r="NRM44" s="22"/>
      <c r="NRN44" s="22"/>
      <c r="NRO44" s="22"/>
      <c r="NRP44" s="22"/>
      <c r="NRQ44" s="22"/>
      <c r="NRR44" s="22"/>
      <c r="NRS44" s="22"/>
      <c r="NRT44" s="22"/>
      <c r="NRU44" s="22"/>
      <c r="NRV44" s="22"/>
      <c r="NRW44" s="22"/>
      <c r="NRX44" s="22"/>
      <c r="NRY44" s="22"/>
      <c r="NRZ44" s="22"/>
      <c r="NSA44" s="22"/>
      <c r="NSB44" s="22"/>
      <c r="NSC44" s="22"/>
      <c r="NSD44" s="22"/>
      <c r="NSE44" s="22"/>
      <c r="NSF44" s="22"/>
      <c r="NSG44" s="22"/>
      <c r="NSH44" s="22"/>
      <c r="NSI44" s="22"/>
      <c r="NSJ44" s="22"/>
      <c r="NSK44" s="22"/>
      <c r="NSL44" s="22"/>
      <c r="NSM44" s="22"/>
      <c r="NSN44" s="22"/>
      <c r="NSO44" s="22"/>
      <c r="NSP44" s="22"/>
      <c r="NSQ44" s="22"/>
      <c r="NSR44" s="22"/>
      <c r="NSS44" s="22"/>
      <c r="NST44" s="22"/>
      <c r="NSU44" s="22"/>
      <c r="NSV44" s="22"/>
      <c r="NSW44" s="22"/>
      <c r="NSX44" s="22"/>
      <c r="NSY44" s="22"/>
      <c r="NSZ44" s="22"/>
      <c r="NTA44" s="22"/>
      <c r="NTB44" s="22"/>
      <c r="NTC44" s="22"/>
      <c r="NTD44" s="22"/>
      <c r="NTE44" s="22"/>
      <c r="NTF44" s="22"/>
      <c r="NTG44" s="22"/>
      <c r="NTH44" s="22"/>
      <c r="NTI44" s="22"/>
      <c r="NTJ44" s="22"/>
      <c r="NTK44" s="22"/>
      <c r="NTL44" s="22"/>
      <c r="NTM44" s="22"/>
      <c r="NTN44" s="22"/>
      <c r="NTO44" s="22"/>
      <c r="NTP44" s="22"/>
      <c r="NTQ44" s="22"/>
      <c r="NTR44" s="22"/>
      <c r="NTS44" s="22"/>
      <c r="NTT44" s="22"/>
      <c r="NTU44" s="22"/>
      <c r="NTV44" s="22"/>
      <c r="NTW44" s="22"/>
      <c r="NTX44" s="22"/>
      <c r="NTY44" s="22"/>
      <c r="NTZ44" s="22"/>
      <c r="NUA44" s="22"/>
      <c r="NUB44" s="22"/>
      <c r="NUC44" s="22"/>
      <c r="NUD44" s="22"/>
      <c r="NUE44" s="22"/>
      <c r="NUF44" s="22"/>
      <c r="NUG44" s="22"/>
      <c r="NUH44" s="22"/>
      <c r="NUI44" s="22"/>
      <c r="NUJ44" s="22"/>
      <c r="NUK44" s="22"/>
      <c r="NUL44" s="22"/>
      <c r="NUM44" s="22"/>
      <c r="NUN44" s="22"/>
      <c r="NUO44" s="22"/>
      <c r="NUP44" s="22"/>
      <c r="NUQ44" s="22"/>
      <c r="NUR44" s="22"/>
      <c r="NUS44" s="22"/>
      <c r="NUT44" s="22"/>
      <c r="NUU44" s="22"/>
      <c r="NUV44" s="22"/>
      <c r="NUW44" s="22"/>
      <c r="NUX44" s="22"/>
      <c r="NUY44" s="22"/>
      <c r="NUZ44" s="22"/>
      <c r="NVA44" s="22"/>
      <c r="NVB44" s="22"/>
      <c r="NVC44" s="22"/>
      <c r="NVD44" s="22"/>
      <c r="NVE44" s="22"/>
      <c r="NVF44" s="22"/>
      <c r="NVG44" s="22"/>
      <c r="NVH44" s="22"/>
      <c r="NVI44" s="22"/>
      <c r="NVJ44" s="22"/>
      <c r="NVK44" s="22"/>
      <c r="NVL44" s="22"/>
      <c r="NVM44" s="22"/>
      <c r="NVN44" s="22"/>
      <c r="NVO44" s="22"/>
      <c r="NVP44" s="22"/>
      <c r="NVQ44" s="22"/>
      <c r="NVR44" s="22"/>
      <c r="NVS44" s="22"/>
      <c r="NVT44" s="22"/>
      <c r="NVU44" s="22"/>
      <c r="NVV44" s="22"/>
      <c r="NVW44" s="22"/>
      <c r="NVX44" s="22"/>
      <c r="NVY44" s="22"/>
      <c r="NVZ44" s="22"/>
      <c r="NWA44" s="22"/>
      <c r="NWB44" s="22"/>
      <c r="NWC44" s="22"/>
      <c r="NWD44" s="22"/>
      <c r="NWE44" s="22"/>
      <c r="NWF44" s="22"/>
      <c r="NWG44" s="22"/>
      <c r="NWH44" s="22"/>
      <c r="NWI44" s="22"/>
      <c r="NWJ44" s="22"/>
      <c r="NWK44" s="22"/>
      <c r="NWL44" s="22"/>
      <c r="NWM44" s="22"/>
      <c r="NWN44" s="22"/>
      <c r="NWO44" s="22"/>
      <c r="NWP44" s="22"/>
      <c r="NWQ44" s="22"/>
      <c r="NWR44" s="22"/>
      <c r="NWS44" s="22"/>
      <c r="NWT44" s="22"/>
      <c r="NWU44" s="22"/>
      <c r="NWV44" s="22"/>
      <c r="NWW44" s="22"/>
      <c r="NWX44" s="22"/>
      <c r="NWY44" s="22"/>
      <c r="NWZ44" s="22"/>
      <c r="NXA44" s="22"/>
      <c r="NXB44" s="22"/>
      <c r="NXC44" s="22"/>
      <c r="NXD44" s="22"/>
      <c r="NXE44" s="22"/>
      <c r="NXF44" s="22"/>
      <c r="NXG44" s="22"/>
      <c r="NXH44" s="22"/>
      <c r="NXI44" s="22"/>
      <c r="NXJ44" s="22"/>
      <c r="NXK44" s="22"/>
      <c r="NXL44" s="22"/>
      <c r="NXM44" s="22"/>
      <c r="NXN44" s="22"/>
      <c r="NXO44" s="22"/>
      <c r="NXP44" s="22"/>
      <c r="NXQ44" s="22"/>
      <c r="NXR44" s="22"/>
      <c r="NXS44" s="22"/>
      <c r="NXT44" s="22"/>
      <c r="NXU44" s="22"/>
      <c r="NXV44" s="22"/>
      <c r="NXW44" s="22"/>
      <c r="NXX44" s="22"/>
      <c r="NXY44" s="22"/>
      <c r="NXZ44" s="22"/>
      <c r="NYA44" s="22"/>
      <c r="NYB44" s="22"/>
      <c r="NYC44" s="22"/>
      <c r="NYD44" s="22"/>
      <c r="NYE44" s="22"/>
      <c r="NYF44" s="22"/>
      <c r="NYG44" s="22"/>
      <c r="NYH44" s="22"/>
      <c r="NYI44" s="22"/>
      <c r="NYJ44" s="22"/>
      <c r="NYK44" s="22"/>
      <c r="NYL44" s="22"/>
      <c r="NYM44" s="22"/>
      <c r="NYN44" s="22"/>
      <c r="NYO44" s="22"/>
      <c r="NYP44" s="22"/>
      <c r="NYQ44" s="22"/>
      <c r="NYR44" s="22"/>
      <c r="NYS44" s="22"/>
      <c r="NYT44" s="22"/>
      <c r="NYU44" s="22"/>
      <c r="NYV44" s="22"/>
      <c r="NYW44" s="22"/>
      <c r="NYX44" s="22"/>
      <c r="NYY44" s="22"/>
      <c r="NYZ44" s="22"/>
      <c r="NZA44" s="22"/>
      <c r="NZB44" s="22"/>
      <c r="NZC44" s="22"/>
      <c r="NZD44" s="22"/>
      <c r="NZE44" s="22"/>
      <c r="NZF44" s="22"/>
      <c r="NZG44" s="22"/>
      <c r="NZH44" s="22"/>
      <c r="NZI44" s="22"/>
      <c r="NZJ44" s="22"/>
      <c r="NZK44" s="22"/>
      <c r="NZL44" s="22"/>
      <c r="NZM44" s="22"/>
      <c r="NZN44" s="22"/>
      <c r="NZO44" s="22"/>
      <c r="NZP44" s="22"/>
      <c r="NZQ44" s="22"/>
      <c r="NZR44" s="22"/>
      <c r="NZS44" s="22"/>
      <c r="NZT44" s="22"/>
      <c r="NZU44" s="22"/>
      <c r="NZV44" s="22"/>
      <c r="NZW44" s="22"/>
      <c r="NZX44" s="22"/>
      <c r="NZY44" s="22"/>
      <c r="NZZ44" s="22"/>
      <c r="OAA44" s="22"/>
      <c r="OAB44" s="22"/>
      <c r="OAC44" s="22"/>
      <c r="OAD44" s="22"/>
      <c r="OAE44" s="22"/>
      <c r="OAF44" s="22"/>
      <c r="OAG44" s="22"/>
      <c r="OAH44" s="22"/>
      <c r="OAI44" s="22"/>
      <c r="OAJ44" s="22"/>
      <c r="OAK44" s="22"/>
      <c r="OAL44" s="22"/>
      <c r="OAM44" s="22"/>
      <c r="OAN44" s="22"/>
      <c r="OAO44" s="22"/>
      <c r="OAP44" s="22"/>
      <c r="OAQ44" s="22"/>
      <c r="OAR44" s="22"/>
      <c r="OAS44" s="22"/>
      <c r="OAT44" s="22"/>
      <c r="OAU44" s="22"/>
      <c r="OAV44" s="22"/>
      <c r="OAW44" s="22"/>
      <c r="OAX44" s="22"/>
      <c r="OAY44" s="22"/>
      <c r="OAZ44" s="22"/>
      <c r="OBA44" s="22"/>
      <c r="OBB44" s="22"/>
      <c r="OBC44" s="22"/>
      <c r="OBD44" s="22"/>
      <c r="OBE44" s="22"/>
      <c r="OBF44" s="22"/>
      <c r="OBG44" s="22"/>
      <c r="OBH44" s="22"/>
      <c r="OBI44" s="22"/>
      <c r="OBJ44" s="22"/>
      <c r="OBK44" s="22"/>
      <c r="OBL44" s="22"/>
      <c r="OBM44" s="22"/>
      <c r="OBN44" s="22"/>
      <c r="OBO44" s="22"/>
      <c r="OBP44" s="22"/>
      <c r="OBQ44" s="22"/>
      <c r="OBR44" s="22"/>
      <c r="OBS44" s="22"/>
      <c r="OBT44" s="22"/>
      <c r="OBU44" s="22"/>
      <c r="OBV44" s="22"/>
      <c r="OBW44" s="22"/>
      <c r="OBX44" s="22"/>
      <c r="OBY44" s="22"/>
      <c r="OBZ44" s="22"/>
      <c r="OCA44" s="22"/>
      <c r="OCB44" s="22"/>
      <c r="OCC44" s="22"/>
      <c r="OCD44" s="22"/>
      <c r="OCE44" s="22"/>
      <c r="OCF44" s="22"/>
      <c r="OCG44" s="22"/>
      <c r="OCH44" s="22"/>
      <c r="OCI44" s="22"/>
      <c r="OCJ44" s="22"/>
      <c r="OCK44" s="22"/>
      <c r="OCL44" s="22"/>
      <c r="OCM44" s="22"/>
      <c r="OCN44" s="22"/>
      <c r="OCO44" s="22"/>
      <c r="OCP44" s="22"/>
      <c r="OCQ44" s="22"/>
      <c r="OCR44" s="22"/>
      <c r="OCS44" s="22"/>
      <c r="OCT44" s="22"/>
      <c r="OCU44" s="22"/>
      <c r="OCV44" s="22"/>
      <c r="OCW44" s="22"/>
      <c r="OCX44" s="22"/>
      <c r="OCY44" s="22"/>
      <c r="OCZ44" s="22"/>
      <c r="ODA44" s="22"/>
      <c r="ODB44" s="22"/>
      <c r="ODC44" s="22"/>
      <c r="ODD44" s="22"/>
      <c r="ODE44" s="22"/>
      <c r="ODF44" s="22"/>
      <c r="ODG44" s="22"/>
      <c r="ODH44" s="22"/>
      <c r="ODI44" s="22"/>
      <c r="ODJ44" s="22"/>
      <c r="ODK44" s="22"/>
      <c r="ODL44" s="22"/>
      <c r="ODM44" s="22"/>
      <c r="ODN44" s="22"/>
      <c r="ODO44" s="22"/>
      <c r="ODP44" s="22"/>
      <c r="ODQ44" s="22"/>
      <c r="ODR44" s="22"/>
      <c r="ODS44" s="22"/>
      <c r="ODT44" s="22"/>
      <c r="ODU44" s="22"/>
      <c r="ODV44" s="22"/>
      <c r="ODW44" s="22"/>
      <c r="ODX44" s="22"/>
      <c r="ODY44" s="22"/>
      <c r="ODZ44" s="22"/>
      <c r="OEA44" s="22"/>
      <c r="OEB44" s="22"/>
      <c r="OEC44" s="22"/>
      <c r="OED44" s="22"/>
      <c r="OEE44" s="22"/>
      <c r="OEF44" s="22"/>
      <c r="OEG44" s="22"/>
      <c r="OEH44" s="22"/>
      <c r="OEI44" s="22"/>
      <c r="OEJ44" s="22"/>
      <c r="OEK44" s="22"/>
      <c r="OEL44" s="22"/>
      <c r="OEM44" s="22"/>
      <c r="OEN44" s="22"/>
      <c r="OEO44" s="22"/>
      <c r="OEP44" s="22"/>
      <c r="OEQ44" s="22"/>
      <c r="OER44" s="22"/>
      <c r="OES44" s="22"/>
      <c r="OET44" s="22"/>
      <c r="OEU44" s="22"/>
      <c r="OEV44" s="22"/>
      <c r="OEW44" s="22"/>
      <c r="OEX44" s="22"/>
      <c r="OEY44" s="22"/>
      <c r="OEZ44" s="22"/>
      <c r="OFA44" s="22"/>
      <c r="OFB44" s="22"/>
      <c r="OFC44" s="22"/>
      <c r="OFD44" s="22"/>
      <c r="OFE44" s="22"/>
      <c r="OFF44" s="22"/>
      <c r="OFG44" s="22"/>
      <c r="OFH44" s="22"/>
      <c r="OFI44" s="22"/>
      <c r="OFJ44" s="22"/>
      <c r="OFK44" s="22"/>
      <c r="OFL44" s="22"/>
      <c r="OFM44" s="22"/>
      <c r="OFN44" s="22"/>
      <c r="OFO44" s="22"/>
      <c r="OFP44" s="22"/>
      <c r="OFQ44" s="22"/>
      <c r="OFR44" s="22"/>
      <c r="OFS44" s="22"/>
      <c r="OFT44" s="22"/>
      <c r="OFU44" s="22"/>
      <c r="OFV44" s="22"/>
      <c r="OFW44" s="22"/>
      <c r="OFX44" s="22"/>
      <c r="OFY44" s="22"/>
      <c r="OFZ44" s="22"/>
      <c r="OGA44" s="22"/>
      <c r="OGB44" s="22"/>
      <c r="OGC44" s="22"/>
      <c r="OGD44" s="22"/>
      <c r="OGE44" s="22"/>
      <c r="OGF44" s="22"/>
      <c r="OGG44" s="22"/>
      <c r="OGH44" s="22"/>
      <c r="OGI44" s="22"/>
      <c r="OGJ44" s="22"/>
      <c r="OGK44" s="22"/>
      <c r="OGL44" s="22"/>
      <c r="OGM44" s="22"/>
      <c r="OGN44" s="22"/>
      <c r="OGO44" s="22"/>
      <c r="OGP44" s="22"/>
      <c r="OGQ44" s="22"/>
      <c r="OGR44" s="22"/>
      <c r="OGS44" s="22"/>
      <c r="OGT44" s="22"/>
      <c r="OGU44" s="22"/>
      <c r="OGV44" s="22"/>
      <c r="OGW44" s="22"/>
      <c r="OGX44" s="22"/>
      <c r="OGY44" s="22"/>
      <c r="OGZ44" s="22"/>
      <c r="OHA44" s="22"/>
      <c r="OHB44" s="22"/>
      <c r="OHC44" s="22"/>
      <c r="OHD44" s="22"/>
      <c r="OHE44" s="22"/>
      <c r="OHF44" s="22"/>
      <c r="OHG44" s="22"/>
      <c r="OHH44" s="22"/>
      <c r="OHI44" s="22"/>
      <c r="OHJ44" s="22"/>
      <c r="OHK44" s="22"/>
      <c r="OHL44" s="22"/>
      <c r="OHM44" s="22"/>
      <c r="OHN44" s="22"/>
      <c r="OHO44" s="22"/>
      <c r="OHP44" s="22"/>
      <c r="OHQ44" s="22"/>
      <c r="OHR44" s="22"/>
      <c r="OHS44" s="22"/>
      <c r="OHT44" s="22"/>
      <c r="OHU44" s="22"/>
      <c r="OHV44" s="22"/>
      <c r="OHW44" s="22"/>
      <c r="OHX44" s="22"/>
      <c r="OHY44" s="22"/>
      <c r="OHZ44" s="22"/>
      <c r="OIA44" s="22"/>
      <c r="OIB44" s="22"/>
      <c r="OIC44" s="22"/>
      <c r="OID44" s="22"/>
      <c r="OIE44" s="22"/>
      <c r="OIF44" s="22"/>
      <c r="OIG44" s="22"/>
      <c r="OIH44" s="22"/>
      <c r="OII44" s="22"/>
      <c r="OIJ44" s="22"/>
      <c r="OIK44" s="22"/>
      <c r="OIL44" s="22"/>
      <c r="OIM44" s="22"/>
      <c r="OIN44" s="22"/>
      <c r="OIO44" s="22"/>
      <c r="OIP44" s="22"/>
      <c r="OIQ44" s="22"/>
      <c r="OIR44" s="22"/>
      <c r="OIS44" s="22"/>
      <c r="OIT44" s="22"/>
      <c r="OIU44" s="22"/>
      <c r="OIV44" s="22"/>
      <c r="OIW44" s="22"/>
      <c r="OIX44" s="22"/>
      <c r="OIY44" s="22"/>
      <c r="OIZ44" s="22"/>
      <c r="OJA44" s="22"/>
      <c r="OJB44" s="22"/>
      <c r="OJC44" s="22"/>
      <c r="OJD44" s="22"/>
      <c r="OJE44" s="22"/>
      <c r="OJF44" s="22"/>
      <c r="OJG44" s="22"/>
      <c r="OJH44" s="22"/>
      <c r="OJI44" s="22"/>
      <c r="OJJ44" s="22"/>
      <c r="OJK44" s="22"/>
      <c r="OJL44" s="22"/>
      <c r="OJM44" s="22"/>
      <c r="OJN44" s="22"/>
      <c r="OJO44" s="22"/>
      <c r="OJP44" s="22"/>
      <c r="OJQ44" s="22"/>
      <c r="OJR44" s="22"/>
      <c r="OJS44" s="22"/>
      <c r="OJT44" s="22"/>
      <c r="OJU44" s="22"/>
      <c r="OJV44" s="22"/>
      <c r="OJW44" s="22"/>
      <c r="OJX44" s="22"/>
      <c r="OJY44" s="22"/>
      <c r="OJZ44" s="22"/>
      <c r="OKA44" s="22"/>
      <c r="OKB44" s="22"/>
      <c r="OKC44" s="22"/>
      <c r="OKD44" s="22"/>
      <c r="OKE44" s="22"/>
      <c r="OKF44" s="22"/>
      <c r="OKG44" s="22"/>
      <c r="OKH44" s="22"/>
      <c r="OKI44" s="22"/>
      <c r="OKJ44" s="22"/>
      <c r="OKK44" s="22"/>
      <c r="OKL44" s="22"/>
      <c r="OKM44" s="22"/>
      <c r="OKN44" s="22"/>
      <c r="OKO44" s="22"/>
      <c r="OKP44" s="22"/>
      <c r="OKQ44" s="22"/>
      <c r="OKR44" s="22"/>
      <c r="OKS44" s="22"/>
      <c r="OKT44" s="22"/>
      <c r="OKU44" s="22"/>
      <c r="OKV44" s="22"/>
      <c r="OKW44" s="22"/>
      <c r="OKX44" s="22"/>
      <c r="OKY44" s="22"/>
      <c r="OKZ44" s="22"/>
      <c r="OLA44" s="22"/>
      <c r="OLB44" s="22"/>
      <c r="OLC44" s="22"/>
      <c r="OLD44" s="22"/>
      <c r="OLE44" s="22"/>
      <c r="OLF44" s="22"/>
      <c r="OLG44" s="22"/>
      <c r="OLH44" s="22"/>
      <c r="OLI44" s="22"/>
      <c r="OLJ44" s="22"/>
      <c r="OLK44" s="22"/>
      <c r="OLL44" s="22"/>
      <c r="OLM44" s="22"/>
      <c r="OLN44" s="22"/>
      <c r="OLO44" s="22"/>
      <c r="OLP44" s="22"/>
      <c r="OLQ44" s="22"/>
      <c r="OLR44" s="22"/>
      <c r="OLS44" s="22"/>
      <c r="OLT44" s="22"/>
      <c r="OLU44" s="22"/>
      <c r="OLV44" s="22"/>
      <c r="OLW44" s="22"/>
      <c r="OLX44" s="22"/>
      <c r="OLY44" s="22"/>
      <c r="OLZ44" s="22"/>
      <c r="OMA44" s="22"/>
      <c r="OMB44" s="22"/>
      <c r="OMC44" s="22"/>
      <c r="OMD44" s="22"/>
      <c r="OME44" s="22"/>
      <c r="OMF44" s="22"/>
      <c r="OMG44" s="22"/>
      <c r="OMH44" s="22"/>
      <c r="OMI44" s="22"/>
      <c r="OMJ44" s="22"/>
      <c r="OMK44" s="22"/>
      <c r="OML44" s="22"/>
      <c r="OMM44" s="22"/>
      <c r="OMN44" s="22"/>
      <c r="OMO44" s="22"/>
      <c r="OMP44" s="22"/>
      <c r="OMQ44" s="22"/>
      <c r="OMR44" s="22"/>
      <c r="OMS44" s="22"/>
      <c r="OMT44" s="22"/>
      <c r="OMU44" s="22"/>
      <c r="OMV44" s="22"/>
      <c r="OMW44" s="22"/>
      <c r="OMX44" s="22"/>
      <c r="OMY44" s="22"/>
      <c r="OMZ44" s="22"/>
      <c r="ONA44" s="22"/>
      <c r="ONB44" s="22"/>
      <c r="ONC44" s="22"/>
      <c r="OND44" s="22"/>
      <c r="ONE44" s="22"/>
      <c r="ONF44" s="22"/>
      <c r="ONG44" s="22"/>
      <c r="ONH44" s="22"/>
      <c r="ONI44" s="22"/>
      <c r="ONJ44" s="22"/>
      <c r="ONK44" s="22"/>
      <c r="ONL44" s="22"/>
      <c r="ONM44" s="22"/>
      <c r="ONN44" s="22"/>
      <c r="ONO44" s="22"/>
      <c r="ONP44" s="22"/>
      <c r="ONQ44" s="22"/>
      <c r="ONR44" s="22"/>
      <c r="ONS44" s="22"/>
      <c r="ONT44" s="22"/>
      <c r="ONU44" s="22"/>
      <c r="ONV44" s="22"/>
      <c r="ONW44" s="22"/>
      <c r="ONX44" s="22"/>
      <c r="ONY44" s="22"/>
      <c r="ONZ44" s="22"/>
      <c r="OOA44" s="22"/>
      <c r="OOB44" s="22"/>
      <c r="OOC44" s="22"/>
      <c r="OOD44" s="22"/>
      <c r="OOE44" s="22"/>
      <c r="OOF44" s="22"/>
      <c r="OOG44" s="22"/>
      <c r="OOH44" s="22"/>
      <c r="OOI44" s="22"/>
      <c r="OOJ44" s="22"/>
      <c r="OOK44" s="22"/>
      <c r="OOL44" s="22"/>
      <c r="OOM44" s="22"/>
      <c r="OON44" s="22"/>
      <c r="OOO44" s="22"/>
      <c r="OOP44" s="22"/>
      <c r="OOQ44" s="22"/>
      <c r="OOR44" s="22"/>
      <c r="OOS44" s="22"/>
      <c r="OOT44" s="22"/>
      <c r="OOU44" s="22"/>
      <c r="OOV44" s="22"/>
      <c r="OOW44" s="22"/>
      <c r="OOX44" s="22"/>
      <c r="OOY44" s="22"/>
      <c r="OOZ44" s="22"/>
      <c r="OPA44" s="22"/>
      <c r="OPB44" s="22"/>
      <c r="OPC44" s="22"/>
      <c r="OPD44" s="22"/>
      <c r="OPE44" s="22"/>
      <c r="OPF44" s="22"/>
      <c r="OPG44" s="22"/>
      <c r="OPH44" s="22"/>
      <c r="OPI44" s="22"/>
      <c r="OPJ44" s="22"/>
      <c r="OPK44" s="22"/>
      <c r="OPL44" s="22"/>
      <c r="OPM44" s="22"/>
      <c r="OPN44" s="22"/>
      <c r="OPO44" s="22"/>
      <c r="OPP44" s="22"/>
      <c r="OPQ44" s="22"/>
      <c r="OPR44" s="22"/>
      <c r="OPS44" s="22"/>
      <c r="OPT44" s="22"/>
      <c r="OPU44" s="22"/>
      <c r="OPV44" s="22"/>
      <c r="OPW44" s="22"/>
      <c r="OPX44" s="22"/>
      <c r="OPY44" s="22"/>
      <c r="OPZ44" s="22"/>
      <c r="OQA44" s="22"/>
      <c r="OQB44" s="22"/>
      <c r="OQC44" s="22"/>
      <c r="OQD44" s="22"/>
      <c r="OQE44" s="22"/>
      <c r="OQF44" s="22"/>
      <c r="OQG44" s="22"/>
      <c r="OQH44" s="22"/>
      <c r="OQI44" s="22"/>
      <c r="OQJ44" s="22"/>
      <c r="OQK44" s="22"/>
      <c r="OQL44" s="22"/>
      <c r="OQM44" s="22"/>
      <c r="OQN44" s="22"/>
      <c r="OQO44" s="22"/>
      <c r="OQP44" s="22"/>
      <c r="OQQ44" s="22"/>
      <c r="OQR44" s="22"/>
      <c r="OQS44" s="22"/>
      <c r="OQT44" s="22"/>
      <c r="OQU44" s="22"/>
      <c r="OQV44" s="22"/>
      <c r="OQW44" s="22"/>
      <c r="OQX44" s="22"/>
      <c r="OQY44" s="22"/>
      <c r="OQZ44" s="22"/>
      <c r="ORA44" s="22"/>
      <c r="ORB44" s="22"/>
      <c r="ORC44" s="22"/>
      <c r="ORD44" s="22"/>
      <c r="ORE44" s="22"/>
      <c r="ORF44" s="22"/>
      <c r="ORG44" s="22"/>
      <c r="ORH44" s="22"/>
      <c r="ORI44" s="22"/>
      <c r="ORJ44" s="22"/>
      <c r="ORK44" s="22"/>
      <c r="ORL44" s="22"/>
      <c r="ORM44" s="22"/>
      <c r="ORN44" s="22"/>
      <c r="ORO44" s="22"/>
      <c r="ORP44" s="22"/>
      <c r="ORQ44" s="22"/>
      <c r="ORR44" s="22"/>
      <c r="ORS44" s="22"/>
      <c r="ORT44" s="22"/>
      <c r="ORU44" s="22"/>
      <c r="ORV44" s="22"/>
      <c r="ORW44" s="22"/>
      <c r="ORX44" s="22"/>
      <c r="ORY44" s="22"/>
      <c r="ORZ44" s="22"/>
      <c r="OSA44" s="22"/>
      <c r="OSB44" s="22"/>
      <c r="OSC44" s="22"/>
      <c r="OSD44" s="22"/>
      <c r="OSE44" s="22"/>
      <c r="OSF44" s="22"/>
      <c r="OSG44" s="22"/>
      <c r="OSH44" s="22"/>
      <c r="OSI44" s="22"/>
      <c r="OSJ44" s="22"/>
      <c r="OSK44" s="22"/>
      <c r="OSL44" s="22"/>
      <c r="OSM44" s="22"/>
      <c r="OSN44" s="22"/>
      <c r="OSO44" s="22"/>
      <c r="OSP44" s="22"/>
      <c r="OSQ44" s="22"/>
      <c r="OSR44" s="22"/>
      <c r="OSS44" s="22"/>
      <c r="OST44" s="22"/>
      <c r="OSU44" s="22"/>
      <c r="OSV44" s="22"/>
      <c r="OSW44" s="22"/>
      <c r="OSX44" s="22"/>
      <c r="OSY44" s="22"/>
      <c r="OSZ44" s="22"/>
      <c r="OTA44" s="22"/>
      <c r="OTB44" s="22"/>
      <c r="OTC44" s="22"/>
      <c r="OTD44" s="22"/>
      <c r="OTE44" s="22"/>
      <c r="OTF44" s="22"/>
      <c r="OTG44" s="22"/>
      <c r="OTH44" s="22"/>
      <c r="OTI44" s="22"/>
      <c r="OTJ44" s="22"/>
      <c r="OTK44" s="22"/>
      <c r="OTL44" s="22"/>
      <c r="OTM44" s="22"/>
      <c r="OTN44" s="22"/>
      <c r="OTO44" s="22"/>
      <c r="OTP44" s="22"/>
      <c r="OTQ44" s="22"/>
      <c r="OTR44" s="22"/>
      <c r="OTS44" s="22"/>
      <c r="OTT44" s="22"/>
      <c r="OTU44" s="22"/>
      <c r="OTV44" s="22"/>
      <c r="OTW44" s="22"/>
      <c r="OTX44" s="22"/>
      <c r="OTY44" s="22"/>
      <c r="OTZ44" s="22"/>
      <c r="OUA44" s="22"/>
      <c r="OUB44" s="22"/>
      <c r="OUC44" s="22"/>
      <c r="OUD44" s="22"/>
      <c r="OUE44" s="22"/>
      <c r="OUF44" s="22"/>
      <c r="OUG44" s="22"/>
      <c r="OUH44" s="22"/>
      <c r="OUI44" s="22"/>
      <c r="OUJ44" s="22"/>
      <c r="OUK44" s="22"/>
      <c r="OUL44" s="22"/>
      <c r="OUM44" s="22"/>
      <c r="OUN44" s="22"/>
      <c r="OUO44" s="22"/>
      <c r="OUP44" s="22"/>
      <c r="OUQ44" s="22"/>
      <c r="OUR44" s="22"/>
      <c r="OUS44" s="22"/>
      <c r="OUT44" s="22"/>
      <c r="OUU44" s="22"/>
      <c r="OUV44" s="22"/>
      <c r="OUW44" s="22"/>
      <c r="OUX44" s="22"/>
      <c r="OUY44" s="22"/>
      <c r="OUZ44" s="22"/>
      <c r="OVA44" s="22"/>
      <c r="OVB44" s="22"/>
      <c r="OVC44" s="22"/>
      <c r="OVD44" s="22"/>
      <c r="OVE44" s="22"/>
      <c r="OVF44" s="22"/>
      <c r="OVG44" s="22"/>
      <c r="OVH44" s="22"/>
      <c r="OVI44" s="22"/>
      <c r="OVJ44" s="22"/>
      <c r="OVK44" s="22"/>
      <c r="OVL44" s="22"/>
      <c r="OVM44" s="22"/>
      <c r="OVN44" s="22"/>
      <c r="OVO44" s="22"/>
      <c r="OVP44" s="22"/>
      <c r="OVQ44" s="22"/>
      <c r="OVR44" s="22"/>
      <c r="OVS44" s="22"/>
      <c r="OVT44" s="22"/>
      <c r="OVU44" s="22"/>
      <c r="OVV44" s="22"/>
      <c r="OVW44" s="22"/>
      <c r="OVX44" s="22"/>
      <c r="OVY44" s="22"/>
      <c r="OVZ44" s="22"/>
      <c r="OWA44" s="22"/>
      <c r="OWB44" s="22"/>
      <c r="OWC44" s="22"/>
      <c r="OWD44" s="22"/>
      <c r="OWE44" s="22"/>
      <c r="OWF44" s="22"/>
      <c r="OWG44" s="22"/>
      <c r="OWH44" s="22"/>
      <c r="OWI44" s="22"/>
      <c r="OWJ44" s="22"/>
      <c r="OWK44" s="22"/>
      <c r="OWL44" s="22"/>
      <c r="OWM44" s="22"/>
      <c r="OWN44" s="22"/>
      <c r="OWO44" s="22"/>
      <c r="OWP44" s="22"/>
      <c r="OWQ44" s="22"/>
      <c r="OWR44" s="22"/>
      <c r="OWS44" s="22"/>
      <c r="OWT44" s="22"/>
      <c r="OWU44" s="22"/>
      <c r="OWV44" s="22"/>
      <c r="OWW44" s="22"/>
      <c r="OWX44" s="22"/>
      <c r="OWY44" s="22"/>
      <c r="OWZ44" s="22"/>
      <c r="OXA44" s="22"/>
      <c r="OXB44" s="22"/>
      <c r="OXC44" s="22"/>
      <c r="OXD44" s="22"/>
      <c r="OXE44" s="22"/>
      <c r="OXF44" s="22"/>
      <c r="OXG44" s="22"/>
      <c r="OXH44" s="22"/>
      <c r="OXI44" s="22"/>
      <c r="OXJ44" s="22"/>
      <c r="OXK44" s="22"/>
      <c r="OXL44" s="22"/>
      <c r="OXM44" s="22"/>
      <c r="OXN44" s="22"/>
      <c r="OXO44" s="22"/>
      <c r="OXP44" s="22"/>
      <c r="OXQ44" s="22"/>
      <c r="OXR44" s="22"/>
      <c r="OXS44" s="22"/>
      <c r="OXT44" s="22"/>
      <c r="OXU44" s="22"/>
      <c r="OXV44" s="22"/>
      <c r="OXW44" s="22"/>
      <c r="OXX44" s="22"/>
      <c r="OXY44" s="22"/>
      <c r="OXZ44" s="22"/>
      <c r="OYA44" s="22"/>
      <c r="OYB44" s="22"/>
      <c r="OYC44" s="22"/>
      <c r="OYD44" s="22"/>
      <c r="OYE44" s="22"/>
      <c r="OYF44" s="22"/>
      <c r="OYG44" s="22"/>
      <c r="OYH44" s="22"/>
      <c r="OYI44" s="22"/>
      <c r="OYJ44" s="22"/>
      <c r="OYK44" s="22"/>
      <c r="OYL44" s="22"/>
      <c r="OYM44" s="22"/>
      <c r="OYN44" s="22"/>
      <c r="OYO44" s="22"/>
      <c r="OYP44" s="22"/>
      <c r="OYQ44" s="22"/>
      <c r="OYR44" s="22"/>
      <c r="OYS44" s="22"/>
      <c r="OYT44" s="22"/>
      <c r="OYU44" s="22"/>
      <c r="OYV44" s="22"/>
      <c r="OYW44" s="22"/>
      <c r="OYX44" s="22"/>
      <c r="OYY44" s="22"/>
      <c r="OYZ44" s="22"/>
      <c r="OZA44" s="22"/>
      <c r="OZB44" s="22"/>
      <c r="OZC44" s="22"/>
      <c r="OZD44" s="22"/>
      <c r="OZE44" s="22"/>
      <c r="OZF44" s="22"/>
      <c r="OZG44" s="22"/>
      <c r="OZH44" s="22"/>
      <c r="OZI44" s="22"/>
      <c r="OZJ44" s="22"/>
      <c r="OZK44" s="22"/>
      <c r="OZL44" s="22"/>
      <c r="OZM44" s="22"/>
      <c r="OZN44" s="22"/>
      <c r="OZO44" s="22"/>
      <c r="OZP44" s="22"/>
      <c r="OZQ44" s="22"/>
      <c r="OZR44" s="22"/>
      <c r="OZS44" s="22"/>
      <c r="OZT44" s="22"/>
      <c r="OZU44" s="22"/>
      <c r="OZV44" s="22"/>
      <c r="OZW44" s="22"/>
      <c r="OZX44" s="22"/>
      <c r="OZY44" s="22"/>
      <c r="OZZ44" s="22"/>
      <c r="PAA44" s="22"/>
      <c r="PAB44" s="22"/>
      <c r="PAC44" s="22"/>
      <c r="PAD44" s="22"/>
      <c r="PAE44" s="22"/>
      <c r="PAF44" s="22"/>
      <c r="PAG44" s="22"/>
      <c r="PAH44" s="22"/>
      <c r="PAI44" s="22"/>
      <c r="PAJ44" s="22"/>
      <c r="PAK44" s="22"/>
      <c r="PAL44" s="22"/>
      <c r="PAM44" s="22"/>
      <c r="PAN44" s="22"/>
      <c r="PAO44" s="22"/>
      <c r="PAP44" s="22"/>
      <c r="PAQ44" s="22"/>
      <c r="PAR44" s="22"/>
      <c r="PAS44" s="22"/>
      <c r="PAT44" s="22"/>
      <c r="PAU44" s="22"/>
      <c r="PAV44" s="22"/>
      <c r="PAW44" s="22"/>
      <c r="PAX44" s="22"/>
      <c r="PAY44" s="22"/>
      <c r="PAZ44" s="22"/>
      <c r="PBA44" s="22"/>
      <c r="PBB44" s="22"/>
      <c r="PBC44" s="22"/>
      <c r="PBD44" s="22"/>
      <c r="PBE44" s="22"/>
      <c r="PBF44" s="22"/>
      <c r="PBG44" s="22"/>
      <c r="PBH44" s="22"/>
      <c r="PBI44" s="22"/>
      <c r="PBJ44" s="22"/>
      <c r="PBK44" s="22"/>
      <c r="PBL44" s="22"/>
      <c r="PBM44" s="22"/>
      <c r="PBN44" s="22"/>
      <c r="PBO44" s="22"/>
      <c r="PBP44" s="22"/>
      <c r="PBQ44" s="22"/>
      <c r="PBR44" s="22"/>
      <c r="PBS44" s="22"/>
      <c r="PBT44" s="22"/>
      <c r="PBU44" s="22"/>
      <c r="PBV44" s="22"/>
      <c r="PBW44" s="22"/>
      <c r="PBX44" s="22"/>
      <c r="PBY44" s="22"/>
      <c r="PBZ44" s="22"/>
      <c r="PCA44" s="22"/>
      <c r="PCB44" s="22"/>
      <c r="PCC44" s="22"/>
      <c r="PCD44" s="22"/>
      <c r="PCE44" s="22"/>
      <c r="PCF44" s="22"/>
      <c r="PCG44" s="22"/>
      <c r="PCH44" s="22"/>
      <c r="PCI44" s="22"/>
      <c r="PCJ44" s="22"/>
      <c r="PCK44" s="22"/>
      <c r="PCL44" s="22"/>
      <c r="PCM44" s="22"/>
      <c r="PCN44" s="22"/>
      <c r="PCO44" s="22"/>
      <c r="PCP44" s="22"/>
      <c r="PCQ44" s="22"/>
      <c r="PCR44" s="22"/>
      <c r="PCS44" s="22"/>
      <c r="PCT44" s="22"/>
      <c r="PCU44" s="22"/>
      <c r="PCV44" s="22"/>
      <c r="PCW44" s="22"/>
      <c r="PCX44" s="22"/>
      <c r="PCY44" s="22"/>
      <c r="PCZ44" s="22"/>
      <c r="PDA44" s="22"/>
      <c r="PDB44" s="22"/>
      <c r="PDC44" s="22"/>
      <c r="PDD44" s="22"/>
      <c r="PDE44" s="22"/>
      <c r="PDF44" s="22"/>
      <c r="PDG44" s="22"/>
      <c r="PDH44" s="22"/>
      <c r="PDI44" s="22"/>
      <c r="PDJ44" s="22"/>
      <c r="PDK44" s="22"/>
      <c r="PDL44" s="22"/>
      <c r="PDM44" s="22"/>
      <c r="PDN44" s="22"/>
      <c r="PDO44" s="22"/>
      <c r="PDP44" s="22"/>
      <c r="PDQ44" s="22"/>
      <c r="PDR44" s="22"/>
      <c r="PDS44" s="22"/>
      <c r="PDT44" s="22"/>
      <c r="PDU44" s="22"/>
      <c r="PDV44" s="22"/>
      <c r="PDW44" s="22"/>
      <c r="PDX44" s="22"/>
      <c r="PDY44" s="22"/>
      <c r="PDZ44" s="22"/>
      <c r="PEA44" s="22"/>
      <c r="PEB44" s="22"/>
      <c r="PEC44" s="22"/>
      <c r="PED44" s="22"/>
      <c r="PEE44" s="22"/>
      <c r="PEF44" s="22"/>
      <c r="PEG44" s="22"/>
      <c r="PEH44" s="22"/>
      <c r="PEI44" s="22"/>
      <c r="PEJ44" s="22"/>
      <c r="PEK44" s="22"/>
      <c r="PEL44" s="22"/>
      <c r="PEM44" s="22"/>
      <c r="PEN44" s="22"/>
      <c r="PEO44" s="22"/>
      <c r="PEP44" s="22"/>
      <c r="PEQ44" s="22"/>
      <c r="PER44" s="22"/>
      <c r="PES44" s="22"/>
      <c r="PET44" s="22"/>
      <c r="PEU44" s="22"/>
      <c r="PEV44" s="22"/>
      <c r="PEW44" s="22"/>
      <c r="PEX44" s="22"/>
      <c r="PEY44" s="22"/>
      <c r="PEZ44" s="22"/>
      <c r="PFA44" s="22"/>
      <c r="PFB44" s="22"/>
      <c r="PFC44" s="22"/>
      <c r="PFD44" s="22"/>
      <c r="PFE44" s="22"/>
      <c r="PFF44" s="22"/>
      <c r="PFG44" s="22"/>
      <c r="PFH44" s="22"/>
      <c r="PFI44" s="22"/>
      <c r="PFJ44" s="22"/>
      <c r="PFK44" s="22"/>
      <c r="PFL44" s="22"/>
      <c r="PFM44" s="22"/>
      <c r="PFN44" s="22"/>
      <c r="PFO44" s="22"/>
      <c r="PFP44" s="22"/>
      <c r="PFQ44" s="22"/>
      <c r="PFR44" s="22"/>
      <c r="PFS44" s="22"/>
      <c r="PFT44" s="22"/>
      <c r="PFU44" s="22"/>
      <c r="PFV44" s="22"/>
      <c r="PFW44" s="22"/>
      <c r="PFX44" s="22"/>
      <c r="PFY44" s="22"/>
      <c r="PFZ44" s="22"/>
      <c r="PGA44" s="22"/>
      <c r="PGB44" s="22"/>
      <c r="PGC44" s="22"/>
      <c r="PGD44" s="22"/>
      <c r="PGE44" s="22"/>
      <c r="PGF44" s="22"/>
      <c r="PGG44" s="22"/>
      <c r="PGH44" s="22"/>
      <c r="PGI44" s="22"/>
      <c r="PGJ44" s="22"/>
      <c r="PGK44" s="22"/>
      <c r="PGL44" s="22"/>
      <c r="PGM44" s="22"/>
      <c r="PGN44" s="22"/>
      <c r="PGO44" s="22"/>
      <c r="PGP44" s="22"/>
      <c r="PGQ44" s="22"/>
      <c r="PGR44" s="22"/>
      <c r="PGS44" s="22"/>
      <c r="PGT44" s="22"/>
      <c r="PGU44" s="22"/>
      <c r="PGV44" s="22"/>
      <c r="PGW44" s="22"/>
      <c r="PGX44" s="22"/>
      <c r="PGY44" s="22"/>
      <c r="PGZ44" s="22"/>
      <c r="PHA44" s="22"/>
      <c r="PHB44" s="22"/>
      <c r="PHC44" s="22"/>
      <c r="PHD44" s="22"/>
      <c r="PHE44" s="22"/>
      <c r="PHF44" s="22"/>
      <c r="PHG44" s="22"/>
      <c r="PHH44" s="22"/>
      <c r="PHI44" s="22"/>
      <c r="PHJ44" s="22"/>
      <c r="PHK44" s="22"/>
      <c r="PHL44" s="22"/>
      <c r="PHM44" s="22"/>
      <c r="PHN44" s="22"/>
      <c r="PHO44" s="22"/>
      <c r="PHP44" s="22"/>
      <c r="PHQ44" s="22"/>
      <c r="PHR44" s="22"/>
      <c r="PHS44" s="22"/>
      <c r="PHT44" s="22"/>
      <c r="PHU44" s="22"/>
      <c r="PHV44" s="22"/>
      <c r="PHW44" s="22"/>
      <c r="PHX44" s="22"/>
      <c r="PHY44" s="22"/>
      <c r="PHZ44" s="22"/>
      <c r="PIA44" s="22"/>
      <c r="PIB44" s="22"/>
      <c r="PIC44" s="22"/>
      <c r="PID44" s="22"/>
      <c r="PIE44" s="22"/>
      <c r="PIF44" s="22"/>
      <c r="PIG44" s="22"/>
      <c r="PIH44" s="22"/>
      <c r="PII44" s="22"/>
      <c r="PIJ44" s="22"/>
      <c r="PIK44" s="22"/>
      <c r="PIL44" s="22"/>
      <c r="PIM44" s="22"/>
      <c r="PIN44" s="22"/>
      <c r="PIO44" s="22"/>
      <c r="PIP44" s="22"/>
      <c r="PIQ44" s="22"/>
      <c r="PIR44" s="22"/>
      <c r="PIS44" s="22"/>
      <c r="PIT44" s="22"/>
      <c r="PIU44" s="22"/>
      <c r="PIV44" s="22"/>
      <c r="PIW44" s="22"/>
      <c r="PIX44" s="22"/>
      <c r="PIY44" s="22"/>
      <c r="PIZ44" s="22"/>
      <c r="PJA44" s="22"/>
      <c r="PJB44" s="22"/>
      <c r="PJC44" s="22"/>
      <c r="PJD44" s="22"/>
      <c r="PJE44" s="22"/>
      <c r="PJF44" s="22"/>
      <c r="PJG44" s="22"/>
      <c r="PJH44" s="22"/>
      <c r="PJI44" s="22"/>
      <c r="PJJ44" s="22"/>
      <c r="PJK44" s="22"/>
      <c r="PJL44" s="22"/>
      <c r="PJM44" s="22"/>
      <c r="PJN44" s="22"/>
      <c r="PJO44" s="22"/>
      <c r="PJP44" s="22"/>
      <c r="PJQ44" s="22"/>
      <c r="PJR44" s="22"/>
      <c r="PJS44" s="22"/>
      <c r="PJT44" s="22"/>
      <c r="PJU44" s="22"/>
      <c r="PJV44" s="22"/>
      <c r="PJW44" s="22"/>
      <c r="PJX44" s="22"/>
      <c r="PJY44" s="22"/>
      <c r="PJZ44" s="22"/>
      <c r="PKA44" s="22"/>
      <c r="PKB44" s="22"/>
      <c r="PKC44" s="22"/>
      <c r="PKD44" s="22"/>
      <c r="PKE44" s="22"/>
      <c r="PKF44" s="22"/>
      <c r="PKG44" s="22"/>
      <c r="PKH44" s="22"/>
      <c r="PKI44" s="22"/>
      <c r="PKJ44" s="22"/>
      <c r="PKK44" s="22"/>
      <c r="PKL44" s="22"/>
      <c r="PKM44" s="22"/>
      <c r="PKN44" s="22"/>
      <c r="PKO44" s="22"/>
      <c r="PKP44" s="22"/>
      <c r="PKQ44" s="22"/>
      <c r="PKR44" s="22"/>
      <c r="PKS44" s="22"/>
      <c r="PKT44" s="22"/>
      <c r="PKU44" s="22"/>
      <c r="PKV44" s="22"/>
      <c r="PKW44" s="22"/>
      <c r="PKX44" s="22"/>
      <c r="PKY44" s="22"/>
      <c r="PKZ44" s="22"/>
      <c r="PLA44" s="22"/>
      <c r="PLB44" s="22"/>
      <c r="PLC44" s="22"/>
      <c r="PLD44" s="22"/>
      <c r="PLE44" s="22"/>
      <c r="PLF44" s="22"/>
      <c r="PLG44" s="22"/>
      <c r="PLH44" s="22"/>
      <c r="PLI44" s="22"/>
      <c r="PLJ44" s="22"/>
      <c r="PLK44" s="22"/>
      <c r="PLL44" s="22"/>
      <c r="PLM44" s="22"/>
      <c r="PLN44" s="22"/>
      <c r="PLO44" s="22"/>
      <c r="PLP44" s="22"/>
      <c r="PLQ44" s="22"/>
      <c r="PLR44" s="22"/>
      <c r="PLS44" s="22"/>
      <c r="PLT44" s="22"/>
      <c r="PLU44" s="22"/>
      <c r="PLV44" s="22"/>
      <c r="PLW44" s="22"/>
      <c r="PLX44" s="22"/>
      <c r="PLY44" s="22"/>
      <c r="PLZ44" s="22"/>
      <c r="PMA44" s="22"/>
      <c r="PMB44" s="22"/>
      <c r="PMC44" s="22"/>
      <c r="PMD44" s="22"/>
      <c r="PME44" s="22"/>
      <c r="PMF44" s="22"/>
      <c r="PMG44" s="22"/>
      <c r="PMH44" s="22"/>
      <c r="PMI44" s="22"/>
      <c r="PMJ44" s="22"/>
      <c r="PMK44" s="22"/>
      <c r="PML44" s="22"/>
      <c r="PMM44" s="22"/>
      <c r="PMN44" s="22"/>
      <c r="PMO44" s="22"/>
      <c r="PMP44" s="22"/>
      <c r="PMQ44" s="22"/>
      <c r="PMR44" s="22"/>
      <c r="PMS44" s="22"/>
      <c r="PMT44" s="22"/>
      <c r="PMU44" s="22"/>
      <c r="PMV44" s="22"/>
      <c r="PMW44" s="22"/>
      <c r="PMX44" s="22"/>
      <c r="PMY44" s="22"/>
      <c r="PMZ44" s="22"/>
      <c r="PNA44" s="22"/>
      <c r="PNB44" s="22"/>
      <c r="PNC44" s="22"/>
      <c r="PND44" s="22"/>
      <c r="PNE44" s="22"/>
      <c r="PNF44" s="22"/>
      <c r="PNG44" s="22"/>
      <c r="PNH44" s="22"/>
      <c r="PNI44" s="22"/>
      <c r="PNJ44" s="22"/>
      <c r="PNK44" s="22"/>
      <c r="PNL44" s="22"/>
      <c r="PNM44" s="22"/>
      <c r="PNN44" s="22"/>
      <c r="PNO44" s="22"/>
      <c r="PNP44" s="22"/>
      <c r="PNQ44" s="22"/>
      <c r="PNR44" s="22"/>
      <c r="PNS44" s="22"/>
      <c r="PNT44" s="22"/>
      <c r="PNU44" s="22"/>
      <c r="PNV44" s="22"/>
      <c r="PNW44" s="22"/>
      <c r="PNX44" s="22"/>
      <c r="PNY44" s="22"/>
      <c r="PNZ44" s="22"/>
      <c r="POA44" s="22"/>
      <c r="POB44" s="22"/>
      <c r="POC44" s="22"/>
      <c r="POD44" s="22"/>
      <c r="POE44" s="22"/>
      <c r="POF44" s="22"/>
      <c r="POG44" s="22"/>
      <c r="POH44" s="22"/>
      <c r="POI44" s="22"/>
      <c r="POJ44" s="22"/>
      <c r="POK44" s="22"/>
      <c r="POL44" s="22"/>
      <c r="POM44" s="22"/>
      <c r="PON44" s="22"/>
      <c r="POO44" s="22"/>
      <c r="POP44" s="22"/>
      <c r="POQ44" s="22"/>
      <c r="POR44" s="22"/>
      <c r="POS44" s="22"/>
      <c r="POT44" s="22"/>
      <c r="POU44" s="22"/>
      <c r="POV44" s="22"/>
      <c r="POW44" s="22"/>
      <c r="POX44" s="22"/>
      <c r="POY44" s="22"/>
      <c r="POZ44" s="22"/>
      <c r="PPA44" s="22"/>
      <c r="PPB44" s="22"/>
      <c r="PPC44" s="22"/>
      <c r="PPD44" s="22"/>
      <c r="PPE44" s="22"/>
      <c r="PPF44" s="22"/>
      <c r="PPG44" s="22"/>
      <c r="PPH44" s="22"/>
      <c r="PPI44" s="22"/>
      <c r="PPJ44" s="22"/>
      <c r="PPK44" s="22"/>
      <c r="PPL44" s="22"/>
      <c r="PPM44" s="22"/>
      <c r="PPN44" s="22"/>
      <c r="PPO44" s="22"/>
      <c r="PPP44" s="22"/>
      <c r="PPQ44" s="22"/>
      <c r="PPR44" s="22"/>
      <c r="PPS44" s="22"/>
      <c r="PPT44" s="22"/>
      <c r="PPU44" s="22"/>
      <c r="PPV44" s="22"/>
      <c r="PPW44" s="22"/>
      <c r="PPX44" s="22"/>
      <c r="PPY44" s="22"/>
      <c r="PPZ44" s="22"/>
      <c r="PQA44" s="22"/>
      <c r="PQB44" s="22"/>
      <c r="PQC44" s="22"/>
      <c r="PQD44" s="22"/>
      <c r="PQE44" s="22"/>
      <c r="PQF44" s="22"/>
      <c r="PQG44" s="22"/>
      <c r="PQH44" s="22"/>
      <c r="PQI44" s="22"/>
      <c r="PQJ44" s="22"/>
      <c r="PQK44" s="22"/>
      <c r="PQL44" s="22"/>
      <c r="PQM44" s="22"/>
      <c r="PQN44" s="22"/>
      <c r="PQO44" s="22"/>
      <c r="PQP44" s="22"/>
      <c r="PQQ44" s="22"/>
      <c r="PQR44" s="22"/>
      <c r="PQS44" s="22"/>
      <c r="PQT44" s="22"/>
      <c r="PQU44" s="22"/>
      <c r="PQV44" s="22"/>
      <c r="PQW44" s="22"/>
      <c r="PQX44" s="22"/>
      <c r="PQY44" s="22"/>
      <c r="PQZ44" s="22"/>
      <c r="PRA44" s="22"/>
      <c r="PRB44" s="22"/>
      <c r="PRC44" s="22"/>
      <c r="PRD44" s="22"/>
      <c r="PRE44" s="22"/>
      <c r="PRF44" s="22"/>
      <c r="PRG44" s="22"/>
      <c r="PRH44" s="22"/>
      <c r="PRI44" s="22"/>
      <c r="PRJ44" s="22"/>
      <c r="PRK44" s="22"/>
      <c r="PRL44" s="22"/>
      <c r="PRM44" s="22"/>
      <c r="PRN44" s="22"/>
      <c r="PRO44" s="22"/>
      <c r="PRP44" s="22"/>
      <c r="PRQ44" s="22"/>
      <c r="PRR44" s="22"/>
      <c r="PRS44" s="22"/>
      <c r="PRT44" s="22"/>
      <c r="PRU44" s="22"/>
      <c r="PRV44" s="22"/>
      <c r="PRW44" s="22"/>
      <c r="PRX44" s="22"/>
      <c r="PRY44" s="22"/>
      <c r="PRZ44" s="22"/>
      <c r="PSA44" s="22"/>
      <c r="PSB44" s="22"/>
      <c r="PSC44" s="22"/>
      <c r="PSD44" s="22"/>
      <c r="PSE44" s="22"/>
      <c r="PSF44" s="22"/>
      <c r="PSG44" s="22"/>
      <c r="PSH44" s="22"/>
      <c r="PSI44" s="22"/>
      <c r="PSJ44" s="22"/>
      <c r="PSK44" s="22"/>
      <c r="PSL44" s="22"/>
      <c r="PSM44" s="22"/>
      <c r="PSN44" s="22"/>
      <c r="PSO44" s="22"/>
      <c r="PSP44" s="22"/>
      <c r="PSQ44" s="22"/>
      <c r="PSR44" s="22"/>
      <c r="PSS44" s="22"/>
      <c r="PST44" s="22"/>
      <c r="PSU44" s="22"/>
      <c r="PSV44" s="22"/>
      <c r="PSW44" s="22"/>
      <c r="PSX44" s="22"/>
      <c r="PSY44" s="22"/>
      <c r="PSZ44" s="22"/>
      <c r="PTA44" s="22"/>
      <c r="PTB44" s="22"/>
      <c r="PTC44" s="22"/>
      <c r="PTD44" s="22"/>
      <c r="PTE44" s="22"/>
      <c r="PTF44" s="22"/>
      <c r="PTG44" s="22"/>
      <c r="PTH44" s="22"/>
      <c r="PTI44" s="22"/>
      <c r="PTJ44" s="22"/>
      <c r="PTK44" s="22"/>
      <c r="PTL44" s="22"/>
      <c r="PTM44" s="22"/>
      <c r="PTN44" s="22"/>
      <c r="PTO44" s="22"/>
      <c r="PTP44" s="22"/>
      <c r="PTQ44" s="22"/>
      <c r="PTR44" s="22"/>
      <c r="PTS44" s="22"/>
      <c r="PTT44" s="22"/>
      <c r="PTU44" s="22"/>
      <c r="PTV44" s="22"/>
      <c r="PTW44" s="22"/>
      <c r="PTX44" s="22"/>
      <c r="PTY44" s="22"/>
      <c r="PTZ44" s="22"/>
      <c r="PUA44" s="22"/>
      <c r="PUB44" s="22"/>
      <c r="PUC44" s="22"/>
      <c r="PUD44" s="22"/>
      <c r="PUE44" s="22"/>
      <c r="PUF44" s="22"/>
      <c r="PUG44" s="22"/>
      <c r="PUH44" s="22"/>
      <c r="PUI44" s="22"/>
      <c r="PUJ44" s="22"/>
      <c r="PUK44" s="22"/>
      <c r="PUL44" s="22"/>
      <c r="PUM44" s="22"/>
      <c r="PUN44" s="22"/>
      <c r="PUO44" s="22"/>
      <c r="PUP44" s="22"/>
      <c r="PUQ44" s="22"/>
      <c r="PUR44" s="22"/>
      <c r="PUS44" s="22"/>
      <c r="PUT44" s="22"/>
      <c r="PUU44" s="22"/>
      <c r="PUV44" s="22"/>
      <c r="PUW44" s="22"/>
      <c r="PUX44" s="22"/>
      <c r="PUY44" s="22"/>
      <c r="PUZ44" s="22"/>
      <c r="PVA44" s="22"/>
      <c r="PVB44" s="22"/>
      <c r="PVC44" s="22"/>
      <c r="PVD44" s="22"/>
      <c r="PVE44" s="22"/>
      <c r="PVF44" s="22"/>
      <c r="PVG44" s="22"/>
      <c r="PVH44" s="22"/>
      <c r="PVI44" s="22"/>
      <c r="PVJ44" s="22"/>
      <c r="PVK44" s="22"/>
      <c r="PVL44" s="22"/>
      <c r="PVM44" s="22"/>
      <c r="PVN44" s="22"/>
      <c r="PVO44" s="22"/>
      <c r="PVP44" s="22"/>
      <c r="PVQ44" s="22"/>
      <c r="PVR44" s="22"/>
      <c r="PVS44" s="22"/>
      <c r="PVT44" s="22"/>
      <c r="PVU44" s="22"/>
      <c r="PVV44" s="22"/>
      <c r="PVW44" s="22"/>
      <c r="PVX44" s="22"/>
      <c r="PVY44" s="22"/>
      <c r="PVZ44" s="22"/>
      <c r="PWA44" s="22"/>
      <c r="PWB44" s="22"/>
      <c r="PWC44" s="22"/>
      <c r="PWD44" s="22"/>
      <c r="PWE44" s="22"/>
      <c r="PWF44" s="22"/>
      <c r="PWG44" s="22"/>
      <c r="PWH44" s="22"/>
      <c r="PWI44" s="22"/>
      <c r="PWJ44" s="22"/>
      <c r="PWK44" s="22"/>
      <c r="PWL44" s="22"/>
      <c r="PWM44" s="22"/>
      <c r="PWN44" s="22"/>
      <c r="PWO44" s="22"/>
      <c r="PWP44" s="22"/>
      <c r="PWQ44" s="22"/>
      <c r="PWR44" s="22"/>
      <c r="PWS44" s="22"/>
      <c r="PWT44" s="22"/>
      <c r="PWU44" s="22"/>
      <c r="PWV44" s="22"/>
      <c r="PWW44" s="22"/>
      <c r="PWX44" s="22"/>
      <c r="PWY44" s="22"/>
      <c r="PWZ44" s="22"/>
      <c r="PXA44" s="22"/>
      <c r="PXB44" s="22"/>
      <c r="PXC44" s="22"/>
      <c r="PXD44" s="22"/>
      <c r="PXE44" s="22"/>
      <c r="PXF44" s="22"/>
      <c r="PXG44" s="22"/>
      <c r="PXH44" s="22"/>
      <c r="PXI44" s="22"/>
      <c r="PXJ44" s="22"/>
      <c r="PXK44" s="22"/>
      <c r="PXL44" s="22"/>
      <c r="PXM44" s="22"/>
      <c r="PXN44" s="22"/>
      <c r="PXO44" s="22"/>
      <c r="PXP44" s="22"/>
      <c r="PXQ44" s="22"/>
      <c r="PXR44" s="22"/>
      <c r="PXS44" s="22"/>
      <c r="PXT44" s="22"/>
      <c r="PXU44" s="22"/>
      <c r="PXV44" s="22"/>
      <c r="PXW44" s="22"/>
      <c r="PXX44" s="22"/>
      <c r="PXY44" s="22"/>
      <c r="PXZ44" s="22"/>
      <c r="PYA44" s="22"/>
      <c r="PYB44" s="22"/>
      <c r="PYC44" s="22"/>
      <c r="PYD44" s="22"/>
      <c r="PYE44" s="22"/>
      <c r="PYF44" s="22"/>
      <c r="PYG44" s="22"/>
      <c r="PYH44" s="22"/>
      <c r="PYI44" s="22"/>
      <c r="PYJ44" s="22"/>
      <c r="PYK44" s="22"/>
      <c r="PYL44" s="22"/>
      <c r="PYM44" s="22"/>
      <c r="PYN44" s="22"/>
      <c r="PYO44" s="22"/>
      <c r="PYP44" s="22"/>
      <c r="PYQ44" s="22"/>
      <c r="PYR44" s="22"/>
      <c r="PYS44" s="22"/>
      <c r="PYT44" s="22"/>
      <c r="PYU44" s="22"/>
      <c r="PYV44" s="22"/>
      <c r="PYW44" s="22"/>
      <c r="PYX44" s="22"/>
      <c r="PYY44" s="22"/>
      <c r="PYZ44" s="22"/>
      <c r="PZA44" s="22"/>
      <c r="PZB44" s="22"/>
      <c r="PZC44" s="22"/>
      <c r="PZD44" s="22"/>
      <c r="PZE44" s="22"/>
      <c r="PZF44" s="22"/>
      <c r="PZG44" s="22"/>
      <c r="PZH44" s="22"/>
      <c r="PZI44" s="22"/>
      <c r="PZJ44" s="22"/>
      <c r="PZK44" s="22"/>
      <c r="PZL44" s="22"/>
      <c r="PZM44" s="22"/>
      <c r="PZN44" s="22"/>
      <c r="PZO44" s="22"/>
      <c r="PZP44" s="22"/>
      <c r="PZQ44" s="22"/>
      <c r="PZR44" s="22"/>
      <c r="PZS44" s="22"/>
      <c r="PZT44" s="22"/>
      <c r="PZU44" s="22"/>
      <c r="PZV44" s="22"/>
      <c r="PZW44" s="22"/>
      <c r="PZX44" s="22"/>
      <c r="PZY44" s="22"/>
      <c r="PZZ44" s="22"/>
      <c r="QAA44" s="22"/>
      <c r="QAB44" s="22"/>
      <c r="QAC44" s="22"/>
      <c r="QAD44" s="22"/>
      <c r="QAE44" s="22"/>
      <c r="QAF44" s="22"/>
      <c r="QAG44" s="22"/>
      <c r="QAH44" s="22"/>
      <c r="QAI44" s="22"/>
      <c r="QAJ44" s="22"/>
      <c r="QAK44" s="22"/>
      <c r="QAL44" s="22"/>
      <c r="QAM44" s="22"/>
      <c r="QAN44" s="22"/>
      <c r="QAO44" s="22"/>
      <c r="QAP44" s="22"/>
      <c r="QAQ44" s="22"/>
      <c r="QAR44" s="22"/>
      <c r="QAS44" s="22"/>
      <c r="QAT44" s="22"/>
      <c r="QAU44" s="22"/>
      <c r="QAV44" s="22"/>
      <c r="QAW44" s="22"/>
      <c r="QAX44" s="22"/>
      <c r="QAY44" s="22"/>
      <c r="QAZ44" s="22"/>
      <c r="QBA44" s="22"/>
      <c r="QBB44" s="22"/>
      <c r="QBC44" s="22"/>
      <c r="QBD44" s="22"/>
      <c r="QBE44" s="22"/>
      <c r="QBF44" s="22"/>
      <c r="QBG44" s="22"/>
      <c r="QBH44" s="22"/>
      <c r="QBI44" s="22"/>
      <c r="QBJ44" s="22"/>
      <c r="QBK44" s="22"/>
      <c r="QBL44" s="22"/>
      <c r="QBM44" s="22"/>
      <c r="QBN44" s="22"/>
      <c r="QBO44" s="22"/>
      <c r="QBP44" s="22"/>
      <c r="QBQ44" s="22"/>
      <c r="QBR44" s="22"/>
      <c r="QBS44" s="22"/>
      <c r="QBT44" s="22"/>
      <c r="QBU44" s="22"/>
      <c r="QBV44" s="22"/>
      <c r="QBW44" s="22"/>
      <c r="QBX44" s="22"/>
      <c r="QBY44" s="22"/>
      <c r="QBZ44" s="22"/>
      <c r="QCA44" s="22"/>
      <c r="QCB44" s="22"/>
      <c r="QCC44" s="22"/>
      <c r="QCD44" s="22"/>
      <c r="QCE44" s="22"/>
      <c r="QCF44" s="22"/>
      <c r="QCG44" s="22"/>
      <c r="QCH44" s="22"/>
      <c r="QCI44" s="22"/>
      <c r="QCJ44" s="22"/>
      <c r="QCK44" s="22"/>
      <c r="QCL44" s="22"/>
      <c r="QCM44" s="22"/>
      <c r="QCN44" s="22"/>
      <c r="QCO44" s="22"/>
      <c r="QCP44" s="22"/>
      <c r="QCQ44" s="22"/>
      <c r="QCR44" s="22"/>
      <c r="QCS44" s="22"/>
      <c r="QCT44" s="22"/>
      <c r="QCU44" s="22"/>
      <c r="QCV44" s="22"/>
      <c r="QCW44" s="22"/>
      <c r="QCX44" s="22"/>
      <c r="QCY44" s="22"/>
      <c r="QCZ44" s="22"/>
      <c r="QDA44" s="22"/>
      <c r="QDB44" s="22"/>
      <c r="QDC44" s="22"/>
      <c r="QDD44" s="22"/>
      <c r="QDE44" s="22"/>
      <c r="QDF44" s="22"/>
      <c r="QDG44" s="22"/>
      <c r="QDH44" s="22"/>
      <c r="QDI44" s="22"/>
      <c r="QDJ44" s="22"/>
      <c r="QDK44" s="22"/>
      <c r="QDL44" s="22"/>
      <c r="QDM44" s="22"/>
      <c r="QDN44" s="22"/>
      <c r="QDO44" s="22"/>
      <c r="QDP44" s="22"/>
      <c r="QDQ44" s="22"/>
      <c r="QDR44" s="22"/>
      <c r="QDS44" s="22"/>
      <c r="QDT44" s="22"/>
      <c r="QDU44" s="22"/>
      <c r="QDV44" s="22"/>
      <c r="QDW44" s="22"/>
      <c r="QDX44" s="22"/>
      <c r="QDY44" s="22"/>
      <c r="QDZ44" s="22"/>
      <c r="QEA44" s="22"/>
      <c r="QEB44" s="22"/>
      <c r="QEC44" s="22"/>
      <c r="QED44" s="22"/>
      <c r="QEE44" s="22"/>
      <c r="QEF44" s="22"/>
      <c r="QEG44" s="22"/>
      <c r="QEH44" s="22"/>
      <c r="QEI44" s="22"/>
      <c r="QEJ44" s="22"/>
      <c r="QEK44" s="22"/>
      <c r="QEL44" s="22"/>
      <c r="QEM44" s="22"/>
      <c r="QEN44" s="22"/>
      <c r="QEO44" s="22"/>
      <c r="QEP44" s="22"/>
      <c r="QEQ44" s="22"/>
      <c r="QER44" s="22"/>
      <c r="QES44" s="22"/>
      <c r="QET44" s="22"/>
      <c r="QEU44" s="22"/>
      <c r="QEV44" s="22"/>
      <c r="QEW44" s="22"/>
      <c r="QEX44" s="22"/>
      <c r="QEY44" s="22"/>
      <c r="QEZ44" s="22"/>
      <c r="QFA44" s="22"/>
      <c r="QFB44" s="22"/>
      <c r="QFC44" s="22"/>
      <c r="QFD44" s="22"/>
      <c r="QFE44" s="22"/>
      <c r="QFF44" s="22"/>
      <c r="QFG44" s="22"/>
      <c r="QFH44" s="22"/>
      <c r="QFI44" s="22"/>
      <c r="QFJ44" s="22"/>
      <c r="QFK44" s="22"/>
      <c r="QFL44" s="22"/>
      <c r="QFM44" s="22"/>
      <c r="QFN44" s="22"/>
      <c r="QFO44" s="22"/>
      <c r="QFP44" s="22"/>
      <c r="QFQ44" s="22"/>
      <c r="QFR44" s="22"/>
      <c r="QFS44" s="22"/>
      <c r="QFT44" s="22"/>
      <c r="QFU44" s="22"/>
      <c r="QFV44" s="22"/>
      <c r="QFW44" s="22"/>
      <c r="QFX44" s="22"/>
      <c r="QFY44" s="22"/>
      <c r="QFZ44" s="22"/>
      <c r="QGA44" s="22"/>
      <c r="QGB44" s="22"/>
      <c r="QGC44" s="22"/>
      <c r="QGD44" s="22"/>
      <c r="QGE44" s="22"/>
      <c r="QGF44" s="22"/>
      <c r="QGG44" s="22"/>
      <c r="QGH44" s="22"/>
      <c r="QGI44" s="22"/>
      <c r="QGJ44" s="22"/>
      <c r="QGK44" s="22"/>
      <c r="QGL44" s="22"/>
      <c r="QGM44" s="22"/>
      <c r="QGN44" s="22"/>
      <c r="QGO44" s="22"/>
      <c r="QGP44" s="22"/>
      <c r="QGQ44" s="22"/>
      <c r="QGR44" s="22"/>
      <c r="QGS44" s="22"/>
      <c r="QGT44" s="22"/>
      <c r="QGU44" s="22"/>
      <c r="QGV44" s="22"/>
      <c r="QGW44" s="22"/>
      <c r="QGX44" s="22"/>
      <c r="QGY44" s="22"/>
      <c r="QGZ44" s="22"/>
      <c r="QHA44" s="22"/>
      <c r="QHB44" s="22"/>
      <c r="QHC44" s="22"/>
      <c r="QHD44" s="22"/>
      <c r="QHE44" s="22"/>
      <c r="QHF44" s="22"/>
      <c r="QHG44" s="22"/>
      <c r="QHH44" s="22"/>
      <c r="QHI44" s="22"/>
      <c r="QHJ44" s="22"/>
      <c r="QHK44" s="22"/>
      <c r="QHL44" s="22"/>
      <c r="QHM44" s="22"/>
      <c r="QHN44" s="22"/>
      <c r="QHO44" s="22"/>
      <c r="QHP44" s="22"/>
      <c r="QHQ44" s="22"/>
      <c r="QHR44" s="22"/>
      <c r="QHS44" s="22"/>
      <c r="QHT44" s="22"/>
      <c r="QHU44" s="22"/>
      <c r="QHV44" s="22"/>
      <c r="QHW44" s="22"/>
      <c r="QHX44" s="22"/>
      <c r="QHY44" s="22"/>
      <c r="QHZ44" s="22"/>
      <c r="QIA44" s="22"/>
      <c r="QIB44" s="22"/>
      <c r="QIC44" s="22"/>
      <c r="QID44" s="22"/>
      <c r="QIE44" s="22"/>
      <c r="QIF44" s="22"/>
      <c r="QIG44" s="22"/>
      <c r="QIH44" s="22"/>
      <c r="QII44" s="22"/>
      <c r="QIJ44" s="22"/>
      <c r="QIK44" s="22"/>
      <c r="QIL44" s="22"/>
      <c r="QIM44" s="22"/>
      <c r="QIN44" s="22"/>
      <c r="QIO44" s="22"/>
      <c r="QIP44" s="22"/>
      <c r="QIQ44" s="22"/>
      <c r="QIR44" s="22"/>
      <c r="QIS44" s="22"/>
      <c r="QIT44" s="22"/>
      <c r="QIU44" s="22"/>
      <c r="QIV44" s="22"/>
      <c r="QIW44" s="22"/>
      <c r="QIX44" s="22"/>
      <c r="QIY44" s="22"/>
      <c r="QIZ44" s="22"/>
      <c r="QJA44" s="22"/>
      <c r="QJB44" s="22"/>
      <c r="QJC44" s="22"/>
      <c r="QJD44" s="22"/>
      <c r="QJE44" s="22"/>
      <c r="QJF44" s="22"/>
      <c r="QJG44" s="22"/>
      <c r="QJH44" s="22"/>
      <c r="QJI44" s="22"/>
      <c r="QJJ44" s="22"/>
      <c r="QJK44" s="22"/>
      <c r="QJL44" s="22"/>
      <c r="QJM44" s="22"/>
      <c r="QJN44" s="22"/>
      <c r="QJO44" s="22"/>
      <c r="QJP44" s="22"/>
      <c r="QJQ44" s="22"/>
      <c r="QJR44" s="22"/>
      <c r="QJS44" s="22"/>
      <c r="QJT44" s="22"/>
      <c r="QJU44" s="22"/>
      <c r="QJV44" s="22"/>
      <c r="QJW44" s="22"/>
      <c r="QJX44" s="22"/>
      <c r="QJY44" s="22"/>
      <c r="QJZ44" s="22"/>
      <c r="QKA44" s="22"/>
      <c r="QKB44" s="22"/>
      <c r="QKC44" s="22"/>
      <c r="QKD44" s="22"/>
      <c r="QKE44" s="22"/>
      <c r="QKF44" s="22"/>
      <c r="QKG44" s="22"/>
      <c r="QKH44" s="22"/>
      <c r="QKI44" s="22"/>
      <c r="QKJ44" s="22"/>
      <c r="QKK44" s="22"/>
      <c r="QKL44" s="22"/>
      <c r="QKM44" s="22"/>
      <c r="QKN44" s="22"/>
      <c r="QKO44" s="22"/>
      <c r="QKP44" s="22"/>
      <c r="QKQ44" s="22"/>
      <c r="QKR44" s="22"/>
      <c r="QKS44" s="22"/>
      <c r="QKT44" s="22"/>
      <c r="QKU44" s="22"/>
      <c r="QKV44" s="22"/>
      <c r="QKW44" s="22"/>
      <c r="QKX44" s="22"/>
      <c r="QKY44" s="22"/>
      <c r="QKZ44" s="22"/>
      <c r="QLA44" s="22"/>
      <c r="QLB44" s="22"/>
      <c r="QLC44" s="22"/>
      <c r="QLD44" s="22"/>
      <c r="QLE44" s="22"/>
      <c r="QLF44" s="22"/>
      <c r="QLG44" s="22"/>
      <c r="QLH44" s="22"/>
      <c r="QLI44" s="22"/>
      <c r="QLJ44" s="22"/>
      <c r="QLK44" s="22"/>
      <c r="QLL44" s="22"/>
      <c r="QLM44" s="22"/>
      <c r="QLN44" s="22"/>
      <c r="QLO44" s="22"/>
      <c r="QLP44" s="22"/>
      <c r="QLQ44" s="22"/>
      <c r="QLR44" s="22"/>
      <c r="QLS44" s="22"/>
      <c r="QLT44" s="22"/>
      <c r="QLU44" s="22"/>
      <c r="QLV44" s="22"/>
      <c r="QLW44" s="22"/>
      <c r="QLX44" s="22"/>
      <c r="QLY44" s="22"/>
      <c r="QLZ44" s="22"/>
      <c r="QMA44" s="22"/>
      <c r="QMB44" s="22"/>
      <c r="QMC44" s="22"/>
      <c r="QMD44" s="22"/>
      <c r="QME44" s="22"/>
      <c r="QMF44" s="22"/>
      <c r="QMG44" s="22"/>
      <c r="QMH44" s="22"/>
      <c r="QMI44" s="22"/>
      <c r="QMJ44" s="22"/>
      <c r="QMK44" s="22"/>
      <c r="QML44" s="22"/>
      <c r="QMM44" s="22"/>
      <c r="QMN44" s="22"/>
      <c r="QMO44" s="22"/>
      <c r="QMP44" s="22"/>
      <c r="QMQ44" s="22"/>
      <c r="QMR44" s="22"/>
      <c r="QMS44" s="22"/>
      <c r="QMT44" s="22"/>
      <c r="QMU44" s="22"/>
      <c r="QMV44" s="22"/>
      <c r="QMW44" s="22"/>
      <c r="QMX44" s="22"/>
      <c r="QMY44" s="22"/>
      <c r="QMZ44" s="22"/>
      <c r="QNA44" s="22"/>
      <c r="QNB44" s="22"/>
      <c r="QNC44" s="22"/>
      <c r="QND44" s="22"/>
      <c r="QNE44" s="22"/>
      <c r="QNF44" s="22"/>
      <c r="QNG44" s="22"/>
      <c r="QNH44" s="22"/>
      <c r="QNI44" s="22"/>
      <c r="QNJ44" s="22"/>
      <c r="QNK44" s="22"/>
      <c r="QNL44" s="22"/>
      <c r="QNM44" s="22"/>
      <c r="QNN44" s="22"/>
      <c r="QNO44" s="22"/>
      <c r="QNP44" s="22"/>
      <c r="QNQ44" s="22"/>
      <c r="QNR44" s="22"/>
      <c r="QNS44" s="22"/>
      <c r="QNT44" s="22"/>
      <c r="QNU44" s="22"/>
      <c r="QNV44" s="22"/>
      <c r="QNW44" s="22"/>
      <c r="QNX44" s="22"/>
      <c r="QNY44" s="22"/>
      <c r="QNZ44" s="22"/>
      <c r="QOA44" s="22"/>
      <c r="QOB44" s="22"/>
      <c r="QOC44" s="22"/>
      <c r="QOD44" s="22"/>
      <c r="QOE44" s="22"/>
      <c r="QOF44" s="22"/>
      <c r="QOG44" s="22"/>
      <c r="QOH44" s="22"/>
      <c r="QOI44" s="22"/>
      <c r="QOJ44" s="22"/>
      <c r="QOK44" s="22"/>
      <c r="QOL44" s="22"/>
      <c r="QOM44" s="22"/>
      <c r="QON44" s="22"/>
      <c r="QOO44" s="22"/>
      <c r="QOP44" s="22"/>
      <c r="QOQ44" s="22"/>
      <c r="QOR44" s="22"/>
      <c r="QOS44" s="22"/>
      <c r="QOT44" s="22"/>
      <c r="QOU44" s="22"/>
      <c r="QOV44" s="22"/>
      <c r="QOW44" s="22"/>
      <c r="QOX44" s="22"/>
      <c r="QOY44" s="22"/>
      <c r="QOZ44" s="22"/>
      <c r="QPA44" s="22"/>
      <c r="QPB44" s="22"/>
      <c r="QPC44" s="22"/>
      <c r="QPD44" s="22"/>
      <c r="QPE44" s="22"/>
      <c r="QPF44" s="22"/>
      <c r="QPG44" s="22"/>
      <c r="QPH44" s="22"/>
      <c r="QPI44" s="22"/>
      <c r="QPJ44" s="22"/>
      <c r="QPK44" s="22"/>
      <c r="QPL44" s="22"/>
      <c r="QPM44" s="22"/>
      <c r="QPN44" s="22"/>
      <c r="QPO44" s="22"/>
      <c r="QPP44" s="22"/>
      <c r="QPQ44" s="22"/>
      <c r="QPR44" s="22"/>
      <c r="QPS44" s="22"/>
      <c r="QPT44" s="22"/>
      <c r="QPU44" s="22"/>
      <c r="QPV44" s="22"/>
      <c r="QPW44" s="22"/>
      <c r="QPX44" s="22"/>
      <c r="QPY44" s="22"/>
      <c r="QPZ44" s="22"/>
      <c r="QQA44" s="22"/>
      <c r="QQB44" s="22"/>
      <c r="QQC44" s="22"/>
      <c r="QQD44" s="22"/>
      <c r="QQE44" s="22"/>
      <c r="QQF44" s="22"/>
      <c r="QQG44" s="22"/>
      <c r="QQH44" s="22"/>
      <c r="QQI44" s="22"/>
      <c r="QQJ44" s="22"/>
      <c r="QQK44" s="22"/>
      <c r="QQL44" s="22"/>
      <c r="QQM44" s="22"/>
      <c r="QQN44" s="22"/>
      <c r="QQO44" s="22"/>
      <c r="QQP44" s="22"/>
      <c r="QQQ44" s="22"/>
      <c r="QQR44" s="22"/>
      <c r="QQS44" s="22"/>
      <c r="QQT44" s="22"/>
      <c r="QQU44" s="22"/>
      <c r="QQV44" s="22"/>
      <c r="QQW44" s="22"/>
      <c r="QQX44" s="22"/>
      <c r="QQY44" s="22"/>
      <c r="QQZ44" s="22"/>
      <c r="QRA44" s="22"/>
      <c r="QRB44" s="22"/>
      <c r="QRC44" s="22"/>
      <c r="QRD44" s="22"/>
      <c r="QRE44" s="22"/>
      <c r="QRF44" s="22"/>
      <c r="QRG44" s="22"/>
      <c r="QRH44" s="22"/>
      <c r="QRI44" s="22"/>
      <c r="QRJ44" s="22"/>
      <c r="QRK44" s="22"/>
      <c r="QRL44" s="22"/>
      <c r="QRM44" s="22"/>
      <c r="QRN44" s="22"/>
      <c r="QRO44" s="22"/>
      <c r="QRP44" s="22"/>
      <c r="QRQ44" s="22"/>
      <c r="QRR44" s="22"/>
      <c r="QRS44" s="22"/>
      <c r="QRT44" s="22"/>
      <c r="QRU44" s="22"/>
      <c r="QRV44" s="22"/>
      <c r="QRW44" s="22"/>
      <c r="QRX44" s="22"/>
      <c r="QRY44" s="22"/>
      <c r="QRZ44" s="22"/>
      <c r="QSA44" s="22"/>
      <c r="QSB44" s="22"/>
      <c r="QSC44" s="22"/>
      <c r="QSD44" s="22"/>
      <c r="QSE44" s="22"/>
      <c r="QSF44" s="22"/>
      <c r="QSG44" s="22"/>
      <c r="QSH44" s="22"/>
      <c r="QSI44" s="22"/>
      <c r="QSJ44" s="22"/>
      <c r="QSK44" s="22"/>
      <c r="QSL44" s="22"/>
      <c r="QSM44" s="22"/>
      <c r="QSN44" s="22"/>
      <c r="QSO44" s="22"/>
      <c r="QSP44" s="22"/>
      <c r="QSQ44" s="22"/>
      <c r="QSR44" s="22"/>
      <c r="QSS44" s="22"/>
      <c r="QST44" s="22"/>
      <c r="QSU44" s="22"/>
      <c r="QSV44" s="22"/>
      <c r="QSW44" s="22"/>
      <c r="QSX44" s="22"/>
      <c r="QSY44" s="22"/>
      <c r="QSZ44" s="22"/>
      <c r="QTA44" s="22"/>
      <c r="QTB44" s="22"/>
      <c r="QTC44" s="22"/>
      <c r="QTD44" s="22"/>
      <c r="QTE44" s="22"/>
      <c r="QTF44" s="22"/>
      <c r="QTG44" s="22"/>
      <c r="QTH44" s="22"/>
      <c r="QTI44" s="22"/>
      <c r="QTJ44" s="22"/>
      <c r="QTK44" s="22"/>
      <c r="QTL44" s="22"/>
      <c r="QTM44" s="22"/>
      <c r="QTN44" s="22"/>
      <c r="QTO44" s="22"/>
      <c r="QTP44" s="22"/>
      <c r="QTQ44" s="22"/>
      <c r="QTR44" s="22"/>
      <c r="QTS44" s="22"/>
      <c r="QTT44" s="22"/>
      <c r="QTU44" s="22"/>
      <c r="QTV44" s="22"/>
      <c r="QTW44" s="22"/>
      <c r="QTX44" s="22"/>
      <c r="QTY44" s="22"/>
      <c r="QTZ44" s="22"/>
      <c r="QUA44" s="22"/>
      <c r="QUB44" s="22"/>
      <c r="QUC44" s="22"/>
      <c r="QUD44" s="22"/>
      <c r="QUE44" s="22"/>
      <c r="QUF44" s="22"/>
      <c r="QUG44" s="22"/>
      <c r="QUH44" s="22"/>
      <c r="QUI44" s="22"/>
      <c r="QUJ44" s="22"/>
      <c r="QUK44" s="22"/>
      <c r="QUL44" s="22"/>
      <c r="QUM44" s="22"/>
      <c r="QUN44" s="22"/>
      <c r="QUO44" s="22"/>
      <c r="QUP44" s="22"/>
      <c r="QUQ44" s="22"/>
      <c r="QUR44" s="22"/>
      <c r="QUS44" s="22"/>
      <c r="QUT44" s="22"/>
      <c r="QUU44" s="22"/>
      <c r="QUV44" s="22"/>
      <c r="QUW44" s="22"/>
      <c r="QUX44" s="22"/>
      <c r="QUY44" s="22"/>
      <c r="QUZ44" s="22"/>
      <c r="QVA44" s="22"/>
      <c r="QVB44" s="22"/>
      <c r="QVC44" s="22"/>
      <c r="QVD44" s="22"/>
      <c r="QVE44" s="22"/>
      <c r="QVF44" s="22"/>
      <c r="QVG44" s="22"/>
      <c r="QVH44" s="22"/>
      <c r="QVI44" s="22"/>
      <c r="QVJ44" s="22"/>
      <c r="QVK44" s="22"/>
      <c r="QVL44" s="22"/>
      <c r="QVM44" s="22"/>
      <c r="QVN44" s="22"/>
      <c r="QVO44" s="22"/>
      <c r="QVP44" s="22"/>
      <c r="QVQ44" s="22"/>
      <c r="QVR44" s="22"/>
      <c r="QVS44" s="22"/>
      <c r="QVT44" s="22"/>
      <c r="QVU44" s="22"/>
      <c r="QVV44" s="22"/>
      <c r="QVW44" s="22"/>
      <c r="QVX44" s="22"/>
      <c r="QVY44" s="22"/>
      <c r="QVZ44" s="22"/>
      <c r="QWA44" s="22"/>
      <c r="QWB44" s="22"/>
      <c r="QWC44" s="22"/>
      <c r="QWD44" s="22"/>
      <c r="QWE44" s="22"/>
      <c r="QWF44" s="22"/>
      <c r="QWG44" s="22"/>
      <c r="QWH44" s="22"/>
      <c r="QWI44" s="22"/>
      <c r="QWJ44" s="22"/>
      <c r="QWK44" s="22"/>
      <c r="QWL44" s="22"/>
      <c r="QWM44" s="22"/>
      <c r="QWN44" s="22"/>
      <c r="QWO44" s="22"/>
      <c r="QWP44" s="22"/>
      <c r="QWQ44" s="22"/>
      <c r="QWR44" s="22"/>
      <c r="QWS44" s="22"/>
      <c r="QWT44" s="22"/>
      <c r="QWU44" s="22"/>
      <c r="QWV44" s="22"/>
      <c r="QWW44" s="22"/>
      <c r="QWX44" s="22"/>
      <c r="QWY44" s="22"/>
      <c r="QWZ44" s="22"/>
      <c r="QXA44" s="22"/>
      <c r="QXB44" s="22"/>
      <c r="QXC44" s="22"/>
      <c r="QXD44" s="22"/>
      <c r="QXE44" s="22"/>
      <c r="QXF44" s="22"/>
      <c r="QXG44" s="22"/>
      <c r="QXH44" s="22"/>
      <c r="QXI44" s="22"/>
      <c r="QXJ44" s="22"/>
      <c r="QXK44" s="22"/>
      <c r="QXL44" s="22"/>
      <c r="QXM44" s="22"/>
      <c r="QXN44" s="22"/>
      <c r="QXO44" s="22"/>
      <c r="QXP44" s="22"/>
      <c r="QXQ44" s="22"/>
      <c r="QXR44" s="22"/>
      <c r="QXS44" s="22"/>
      <c r="QXT44" s="22"/>
      <c r="QXU44" s="22"/>
      <c r="QXV44" s="22"/>
      <c r="QXW44" s="22"/>
      <c r="QXX44" s="22"/>
      <c r="QXY44" s="22"/>
      <c r="QXZ44" s="22"/>
      <c r="QYA44" s="22"/>
      <c r="QYB44" s="22"/>
      <c r="QYC44" s="22"/>
      <c r="QYD44" s="22"/>
      <c r="QYE44" s="22"/>
      <c r="QYF44" s="22"/>
      <c r="QYG44" s="22"/>
      <c r="QYH44" s="22"/>
      <c r="QYI44" s="22"/>
      <c r="QYJ44" s="22"/>
      <c r="QYK44" s="22"/>
      <c r="QYL44" s="22"/>
      <c r="QYM44" s="22"/>
      <c r="QYN44" s="22"/>
      <c r="QYO44" s="22"/>
      <c r="QYP44" s="22"/>
      <c r="QYQ44" s="22"/>
      <c r="QYR44" s="22"/>
      <c r="QYS44" s="22"/>
      <c r="QYT44" s="22"/>
      <c r="QYU44" s="22"/>
      <c r="QYV44" s="22"/>
      <c r="QYW44" s="22"/>
      <c r="QYX44" s="22"/>
      <c r="QYY44" s="22"/>
      <c r="QYZ44" s="22"/>
      <c r="QZA44" s="22"/>
      <c r="QZB44" s="22"/>
      <c r="QZC44" s="22"/>
      <c r="QZD44" s="22"/>
      <c r="QZE44" s="22"/>
      <c r="QZF44" s="22"/>
      <c r="QZG44" s="22"/>
      <c r="QZH44" s="22"/>
      <c r="QZI44" s="22"/>
      <c r="QZJ44" s="22"/>
      <c r="QZK44" s="22"/>
      <c r="QZL44" s="22"/>
      <c r="QZM44" s="22"/>
      <c r="QZN44" s="22"/>
      <c r="QZO44" s="22"/>
      <c r="QZP44" s="22"/>
      <c r="QZQ44" s="22"/>
      <c r="QZR44" s="22"/>
      <c r="QZS44" s="22"/>
      <c r="QZT44" s="22"/>
      <c r="QZU44" s="22"/>
      <c r="QZV44" s="22"/>
      <c r="QZW44" s="22"/>
      <c r="QZX44" s="22"/>
      <c r="QZY44" s="22"/>
      <c r="QZZ44" s="22"/>
      <c r="RAA44" s="22"/>
      <c r="RAB44" s="22"/>
      <c r="RAC44" s="22"/>
      <c r="RAD44" s="22"/>
      <c r="RAE44" s="22"/>
      <c r="RAF44" s="22"/>
      <c r="RAG44" s="22"/>
      <c r="RAH44" s="22"/>
      <c r="RAI44" s="22"/>
      <c r="RAJ44" s="22"/>
      <c r="RAK44" s="22"/>
      <c r="RAL44" s="22"/>
      <c r="RAM44" s="22"/>
      <c r="RAN44" s="22"/>
      <c r="RAO44" s="22"/>
      <c r="RAP44" s="22"/>
      <c r="RAQ44" s="22"/>
      <c r="RAR44" s="22"/>
      <c r="RAS44" s="22"/>
      <c r="RAT44" s="22"/>
      <c r="RAU44" s="22"/>
      <c r="RAV44" s="22"/>
      <c r="RAW44" s="22"/>
      <c r="RAX44" s="22"/>
      <c r="RAY44" s="22"/>
      <c r="RAZ44" s="22"/>
      <c r="RBA44" s="22"/>
      <c r="RBB44" s="22"/>
      <c r="RBC44" s="22"/>
      <c r="RBD44" s="22"/>
      <c r="RBE44" s="22"/>
      <c r="RBF44" s="22"/>
      <c r="RBG44" s="22"/>
      <c r="RBH44" s="22"/>
      <c r="RBI44" s="22"/>
      <c r="RBJ44" s="22"/>
      <c r="RBK44" s="22"/>
      <c r="RBL44" s="22"/>
      <c r="RBM44" s="22"/>
      <c r="RBN44" s="22"/>
      <c r="RBO44" s="22"/>
      <c r="RBP44" s="22"/>
      <c r="RBQ44" s="22"/>
      <c r="RBR44" s="22"/>
      <c r="RBS44" s="22"/>
      <c r="RBT44" s="22"/>
      <c r="RBU44" s="22"/>
      <c r="RBV44" s="22"/>
      <c r="RBW44" s="22"/>
      <c r="RBX44" s="22"/>
      <c r="RBY44" s="22"/>
      <c r="RBZ44" s="22"/>
      <c r="RCA44" s="22"/>
      <c r="RCB44" s="22"/>
      <c r="RCC44" s="22"/>
      <c r="RCD44" s="22"/>
      <c r="RCE44" s="22"/>
      <c r="RCF44" s="22"/>
      <c r="RCG44" s="22"/>
      <c r="RCH44" s="22"/>
      <c r="RCI44" s="22"/>
      <c r="RCJ44" s="22"/>
      <c r="RCK44" s="22"/>
      <c r="RCL44" s="22"/>
      <c r="RCM44" s="22"/>
      <c r="RCN44" s="22"/>
      <c r="RCO44" s="22"/>
      <c r="RCP44" s="22"/>
      <c r="RCQ44" s="22"/>
      <c r="RCR44" s="22"/>
      <c r="RCS44" s="22"/>
      <c r="RCT44" s="22"/>
      <c r="RCU44" s="22"/>
      <c r="RCV44" s="22"/>
      <c r="RCW44" s="22"/>
      <c r="RCX44" s="22"/>
      <c r="RCY44" s="22"/>
      <c r="RCZ44" s="22"/>
      <c r="RDA44" s="22"/>
      <c r="RDB44" s="22"/>
      <c r="RDC44" s="22"/>
      <c r="RDD44" s="22"/>
      <c r="RDE44" s="22"/>
      <c r="RDF44" s="22"/>
      <c r="RDG44" s="22"/>
      <c r="RDH44" s="22"/>
      <c r="RDI44" s="22"/>
      <c r="RDJ44" s="22"/>
      <c r="RDK44" s="22"/>
      <c r="RDL44" s="22"/>
      <c r="RDM44" s="22"/>
      <c r="RDN44" s="22"/>
      <c r="RDO44" s="22"/>
      <c r="RDP44" s="22"/>
      <c r="RDQ44" s="22"/>
      <c r="RDR44" s="22"/>
      <c r="RDS44" s="22"/>
      <c r="RDT44" s="22"/>
      <c r="RDU44" s="22"/>
      <c r="RDV44" s="22"/>
      <c r="RDW44" s="22"/>
      <c r="RDX44" s="22"/>
      <c r="RDY44" s="22"/>
      <c r="RDZ44" s="22"/>
      <c r="REA44" s="22"/>
      <c r="REB44" s="22"/>
      <c r="REC44" s="22"/>
      <c r="RED44" s="22"/>
      <c r="REE44" s="22"/>
      <c r="REF44" s="22"/>
      <c r="REG44" s="22"/>
      <c r="REH44" s="22"/>
      <c r="REI44" s="22"/>
      <c r="REJ44" s="22"/>
      <c r="REK44" s="22"/>
      <c r="REL44" s="22"/>
      <c r="REM44" s="22"/>
      <c r="REN44" s="22"/>
      <c r="REO44" s="22"/>
      <c r="REP44" s="22"/>
      <c r="REQ44" s="22"/>
      <c r="RER44" s="22"/>
      <c r="RES44" s="22"/>
      <c r="RET44" s="22"/>
      <c r="REU44" s="22"/>
      <c r="REV44" s="22"/>
      <c r="REW44" s="22"/>
      <c r="REX44" s="22"/>
      <c r="REY44" s="22"/>
      <c r="REZ44" s="22"/>
      <c r="RFA44" s="22"/>
      <c r="RFB44" s="22"/>
      <c r="RFC44" s="22"/>
      <c r="RFD44" s="22"/>
      <c r="RFE44" s="22"/>
      <c r="RFF44" s="22"/>
      <c r="RFG44" s="22"/>
      <c r="RFH44" s="22"/>
      <c r="RFI44" s="22"/>
      <c r="RFJ44" s="22"/>
      <c r="RFK44" s="22"/>
      <c r="RFL44" s="22"/>
      <c r="RFM44" s="22"/>
      <c r="RFN44" s="22"/>
      <c r="RFO44" s="22"/>
      <c r="RFP44" s="22"/>
      <c r="RFQ44" s="22"/>
      <c r="RFR44" s="22"/>
      <c r="RFS44" s="22"/>
      <c r="RFT44" s="22"/>
      <c r="RFU44" s="22"/>
      <c r="RFV44" s="22"/>
      <c r="RFW44" s="22"/>
      <c r="RFX44" s="22"/>
      <c r="RFY44" s="22"/>
      <c r="RFZ44" s="22"/>
      <c r="RGA44" s="22"/>
      <c r="RGB44" s="22"/>
      <c r="RGC44" s="22"/>
      <c r="RGD44" s="22"/>
      <c r="RGE44" s="22"/>
      <c r="RGF44" s="22"/>
      <c r="RGG44" s="22"/>
      <c r="RGH44" s="22"/>
      <c r="RGI44" s="22"/>
      <c r="RGJ44" s="22"/>
      <c r="RGK44" s="22"/>
      <c r="RGL44" s="22"/>
      <c r="RGM44" s="22"/>
      <c r="RGN44" s="22"/>
      <c r="RGO44" s="22"/>
      <c r="RGP44" s="22"/>
      <c r="RGQ44" s="22"/>
      <c r="RGR44" s="22"/>
      <c r="RGS44" s="22"/>
      <c r="RGT44" s="22"/>
      <c r="RGU44" s="22"/>
      <c r="RGV44" s="22"/>
      <c r="RGW44" s="22"/>
      <c r="RGX44" s="22"/>
      <c r="RGY44" s="22"/>
      <c r="RGZ44" s="22"/>
      <c r="RHA44" s="22"/>
      <c r="RHB44" s="22"/>
      <c r="RHC44" s="22"/>
      <c r="RHD44" s="22"/>
      <c r="RHE44" s="22"/>
      <c r="RHF44" s="22"/>
      <c r="RHG44" s="22"/>
      <c r="RHH44" s="22"/>
      <c r="RHI44" s="22"/>
      <c r="RHJ44" s="22"/>
      <c r="RHK44" s="22"/>
      <c r="RHL44" s="22"/>
      <c r="RHM44" s="22"/>
      <c r="RHN44" s="22"/>
      <c r="RHO44" s="22"/>
      <c r="RHP44" s="22"/>
      <c r="RHQ44" s="22"/>
      <c r="RHR44" s="22"/>
      <c r="RHS44" s="22"/>
      <c r="RHT44" s="22"/>
      <c r="RHU44" s="22"/>
      <c r="RHV44" s="22"/>
      <c r="RHW44" s="22"/>
      <c r="RHX44" s="22"/>
      <c r="RHY44" s="22"/>
      <c r="RHZ44" s="22"/>
      <c r="RIA44" s="22"/>
      <c r="RIB44" s="22"/>
      <c r="RIC44" s="22"/>
      <c r="RID44" s="22"/>
      <c r="RIE44" s="22"/>
      <c r="RIF44" s="22"/>
      <c r="RIG44" s="22"/>
      <c r="RIH44" s="22"/>
      <c r="RII44" s="22"/>
      <c r="RIJ44" s="22"/>
      <c r="RIK44" s="22"/>
      <c r="RIL44" s="22"/>
      <c r="RIM44" s="22"/>
      <c r="RIN44" s="22"/>
      <c r="RIO44" s="22"/>
      <c r="RIP44" s="22"/>
      <c r="RIQ44" s="22"/>
      <c r="RIR44" s="22"/>
      <c r="RIS44" s="22"/>
      <c r="RIT44" s="22"/>
      <c r="RIU44" s="22"/>
      <c r="RIV44" s="22"/>
      <c r="RIW44" s="22"/>
      <c r="RIX44" s="22"/>
      <c r="RIY44" s="22"/>
      <c r="RIZ44" s="22"/>
      <c r="RJA44" s="22"/>
      <c r="RJB44" s="22"/>
      <c r="RJC44" s="22"/>
      <c r="RJD44" s="22"/>
      <c r="RJE44" s="22"/>
      <c r="RJF44" s="22"/>
      <c r="RJG44" s="22"/>
      <c r="RJH44" s="22"/>
      <c r="RJI44" s="22"/>
      <c r="RJJ44" s="22"/>
      <c r="RJK44" s="22"/>
      <c r="RJL44" s="22"/>
      <c r="RJM44" s="22"/>
      <c r="RJN44" s="22"/>
      <c r="RJO44" s="22"/>
      <c r="RJP44" s="22"/>
      <c r="RJQ44" s="22"/>
      <c r="RJR44" s="22"/>
      <c r="RJS44" s="22"/>
      <c r="RJT44" s="22"/>
      <c r="RJU44" s="22"/>
      <c r="RJV44" s="22"/>
      <c r="RJW44" s="22"/>
      <c r="RJX44" s="22"/>
      <c r="RJY44" s="22"/>
      <c r="RJZ44" s="22"/>
      <c r="RKA44" s="22"/>
      <c r="RKB44" s="22"/>
      <c r="RKC44" s="22"/>
      <c r="RKD44" s="22"/>
      <c r="RKE44" s="22"/>
      <c r="RKF44" s="22"/>
      <c r="RKG44" s="22"/>
      <c r="RKH44" s="22"/>
      <c r="RKI44" s="22"/>
      <c r="RKJ44" s="22"/>
      <c r="RKK44" s="22"/>
      <c r="RKL44" s="22"/>
      <c r="RKM44" s="22"/>
      <c r="RKN44" s="22"/>
      <c r="RKO44" s="22"/>
      <c r="RKP44" s="22"/>
      <c r="RKQ44" s="22"/>
      <c r="RKR44" s="22"/>
      <c r="RKS44" s="22"/>
      <c r="RKT44" s="22"/>
      <c r="RKU44" s="22"/>
      <c r="RKV44" s="22"/>
      <c r="RKW44" s="22"/>
      <c r="RKX44" s="22"/>
      <c r="RKY44" s="22"/>
      <c r="RKZ44" s="22"/>
      <c r="RLA44" s="22"/>
      <c r="RLB44" s="22"/>
      <c r="RLC44" s="22"/>
      <c r="RLD44" s="22"/>
      <c r="RLE44" s="22"/>
      <c r="RLF44" s="22"/>
      <c r="RLG44" s="22"/>
      <c r="RLH44" s="22"/>
      <c r="RLI44" s="22"/>
      <c r="RLJ44" s="22"/>
      <c r="RLK44" s="22"/>
      <c r="RLL44" s="22"/>
      <c r="RLM44" s="22"/>
      <c r="RLN44" s="22"/>
      <c r="RLO44" s="22"/>
      <c r="RLP44" s="22"/>
      <c r="RLQ44" s="22"/>
      <c r="RLR44" s="22"/>
      <c r="RLS44" s="22"/>
      <c r="RLT44" s="22"/>
      <c r="RLU44" s="22"/>
      <c r="RLV44" s="22"/>
      <c r="RLW44" s="22"/>
      <c r="RLX44" s="22"/>
      <c r="RLY44" s="22"/>
      <c r="RLZ44" s="22"/>
      <c r="RMA44" s="22"/>
      <c r="RMB44" s="22"/>
      <c r="RMC44" s="22"/>
      <c r="RMD44" s="22"/>
      <c r="RME44" s="22"/>
      <c r="RMF44" s="22"/>
      <c r="RMG44" s="22"/>
      <c r="RMH44" s="22"/>
      <c r="RMI44" s="22"/>
      <c r="RMJ44" s="22"/>
      <c r="RMK44" s="22"/>
      <c r="RML44" s="22"/>
      <c r="RMM44" s="22"/>
      <c r="RMN44" s="22"/>
      <c r="RMO44" s="22"/>
      <c r="RMP44" s="22"/>
      <c r="RMQ44" s="22"/>
      <c r="RMR44" s="22"/>
      <c r="RMS44" s="22"/>
      <c r="RMT44" s="22"/>
      <c r="RMU44" s="22"/>
      <c r="RMV44" s="22"/>
      <c r="RMW44" s="22"/>
      <c r="RMX44" s="22"/>
      <c r="RMY44" s="22"/>
      <c r="RMZ44" s="22"/>
      <c r="RNA44" s="22"/>
      <c r="RNB44" s="22"/>
      <c r="RNC44" s="22"/>
      <c r="RND44" s="22"/>
      <c r="RNE44" s="22"/>
      <c r="RNF44" s="22"/>
      <c r="RNG44" s="22"/>
      <c r="RNH44" s="22"/>
      <c r="RNI44" s="22"/>
      <c r="RNJ44" s="22"/>
      <c r="RNK44" s="22"/>
      <c r="RNL44" s="22"/>
      <c r="RNM44" s="22"/>
      <c r="RNN44" s="22"/>
      <c r="RNO44" s="22"/>
      <c r="RNP44" s="22"/>
      <c r="RNQ44" s="22"/>
      <c r="RNR44" s="22"/>
      <c r="RNS44" s="22"/>
      <c r="RNT44" s="22"/>
      <c r="RNU44" s="22"/>
      <c r="RNV44" s="22"/>
      <c r="RNW44" s="22"/>
      <c r="RNX44" s="22"/>
      <c r="RNY44" s="22"/>
      <c r="RNZ44" s="22"/>
      <c r="ROA44" s="22"/>
      <c r="ROB44" s="22"/>
      <c r="ROC44" s="22"/>
      <c r="ROD44" s="22"/>
      <c r="ROE44" s="22"/>
      <c r="ROF44" s="22"/>
      <c r="ROG44" s="22"/>
      <c r="ROH44" s="22"/>
      <c r="ROI44" s="22"/>
      <c r="ROJ44" s="22"/>
      <c r="ROK44" s="22"/>
      <c r="ROL44" s="22"/>
      <c r="ROM44" s="22"/>
      <c r="RON44" s="22"/>
      <c r="ROO44" s="22"/>
      <c r="ROP44" s="22"/>
      <c r="ROQ44" s="22"/>
      <c r="ROR44" s="22"/>
      <c r="ROS44" s="22"/>
      <c r="ROT44" s="22"/>
      <c r="ROU44" s="22"/>
      <c r="ROV44" s="22"/>
      <c r="ROW44" s="22"/>
      <c r="ROX44" s="22"/>
      <c r="ROY44" s="22"/>
      <c r="ROZ44" s="22"/>
      <c r="RPA44" s="22"/>
      <c r="RPB44" s="22"/>
      <c r="RPC44" s="22"/>
      <c r="RPD44" s="22"/>
      <c r="RPE44" s="22"/>
      <c r="RPF44" s="22"/>
      <c r="RPG44" s="22"/>
      <c r="RPH44" s="22"/>
      <c r="RPI44" s="22"/>
      <c r="RPJ44" s="22"/>
      <c r="RPK44" s="22"/>
      <c r="RPL44" s="22"/>
      <c r="RPM44" s="22"/>
      <c r="RPN44" s="22"/>
      <c r="RPO44" s="22"/>
      <c r="RPP44" s="22"/>
      <c r="RPQ44" s="22"/>
      <c r="RPR44" s="22"/>
      <c r="RPS44" s="22"/>
      <c r="RPT44" s="22"/>
      <c r="RPU44" s="22"/>
      <c r="RPV44" s="22"/>
      <c r="RPW44" s="22"/>
      <c r="RPX44" s="22"/>
      <c r="RPY44" s="22"/>
      <c r="RPZ44" s="22"/>
      <c r="RQA44" s="22"/>
      <c r="RQB44" s="22"/>
      <c r="RQC44" s="22"/>
      <c r="RQD44" s="22"/>
      <c r="RQE44" s="22"/>
      <c r="RQF44" s="22"/>
      <c r="RQG44" s="22"/>
      <c r="RQH44" s="22"/>
      <c r="RQI44" s="22"/>
      <c r="RQJ44" s="22"/>
      <c r="RQK44" s="22"/>
      <c r="RQL44" s="22"/>
      <c r="RQM44" s="22"/>
      <c r="RQN44" s="22"/>
      <c r="RQO44" s="22"/>
      <c r="RQP44" s="22"/>
      <c r="RQQ44" s="22"/>
      <c r="RQR44" s="22"/>
      <c r="RQS44" s="22"/>
      <c r="RQT44" s="22"/>
      <c r="RQU44" s="22"/>
      <c r="RQV44" s="22"/>
      <c r="RQW44" s="22"/>
      <c r="RQX44" s="22"/>
      <c r="RQY44" s="22"/>
      <c r="RQZ44" s="22"/>
      <c r="RRA44" s="22"/>
      <c r="RRB44" s="22"/>
      <c r="RRC44" s="22"/>
      <c r="RRD44" s="22"/>
      <c r="RRE44" s="22"/>
      <c r="RRF44" s="22"/>
      <c r="RRG44" s="22"/>
      <c r="RRH44" s="22"/>
      <c r="RRI44" s="22"/>
      <c r="RRJ44" s="22"/>
      <c r="RRK44" s="22"/>
      <c r="RRL44" s="22"/>
      <c r="RRM44" s="22"/>
      <c r="RRN44" s="22"/>
      <c r="RRO44" s="22"/>
      <c r="RRP44" s="22"/>
      <c r="RRQ44" s="22"/>
      <c r="RRR44" s="22"/>
      <c r="RRS44" s="22"/>
      <c r="RRT44" s="22"/>
      <c r="RRU44" s="22"/>
      <c r="RRV44" s="22"/>
      <c r="RRW44" s="22"/>
      <c r="RRX44" s="22"/>
      <c r="RRY44" s="22"/>
      <c r="RRZ44" s="22"/>
      <c r="RSA44" s="22"/>
      <c r="RSB44" s="22"/>
      <c r="RSC44" s="22"/>
      <c r="RSD44" s="22"/>
      <c r="RSE44" s="22"/>
      <c r="RSF44" s="22"/>
      <c r="RSG44" s="22"/>
      <c r="RSH44" s="22"/>
      <c r="RSI44" s="22"/>
      <c r="RSJ44" s="22"/>
      <c r="RSK44" s="22"/>
      <c r="RSL44" s="22"/>
      <c r="RSM44" s="22"/>
      <c r="RSN44" s="22"/>
      <c r="RSO44" s="22"/>
      <c r="RSP44" s="22"/>
      <c r="RSQ44" s="22"/>
      <c r="RSR44" s="22"/>
      <c r="RSS44" s="22"/>
      <c r="RST44" s="22"/>
      <c r="RSU44" s="22"/>
      <c r="RSV44" s="22"/>
      <c r="RSW44" s="22"/>
      <c r="RSX44" s="22"/>
      <c r="RSY44" s="22"/>
      <c r="RSZ44" s="22"/>
      <c r="RTA44" s="22"/>
      <c r="RTB44" s="22"/>
      <c r="RTC44" s="22"/>
      <c r="RTD44" s="22"/>
      <c r="RTE44" s="22"/>
      <c r="RTF44" s="22"/>
      <c r="RTG44" s="22"/>
      <c r="RTH44" s="22"/>
      <c r="RTI44" s="22"/>
      <c r="RTJ44" s="22"/>
      <c r="RTK44" s="22"/>
      <c r="RTL44" s="22"/>
      <c r="RTM44" s="22"/>
      <c r="RTN44" s="22"/>
      <c r="RTO44" s="22"/>
      <c r="RTP44" s="22"/>
      <c r="RTQ44" s="22"/>
      <c r="RTR44" s="22"/>
      <c r="RTS44" s="22"/>
      <c r="RTT44" s="22"/>
      <c r="RTU44" s="22"/>
      <c r="RTV44" s="22"/>
      <c r="RTW44" s="22"/>
      <c r="RTX44" s="22"/>
      <c r="RTY44" s="22"/>
      <c r="RTZ44" s="22"/>
      <c r="RUA44" s="22"/>
      <c r="RUB44" s="22"/>
      <c r="RUC44" s="22"/>
      <c r="RUD44" s="22"/>
      <c r="RUE44" s="22"/>
      <c r="RUF44" s="22"/>
      <c r="RUG44" s="22"/>
      <c r="RUH44" s="22"/>
      <c r="RUI44" s="22"/>
      <c r="RUJ44" s="22"/>
      <c r="RUK44" s="22"/>
      <c r="RUL44" s="22"/>
      <c r="RUM44" s="22"/>
      <c r="RUN44" s="22"/>
      <c r="RUO44" s="22"/>
      <c r="RUP44" s="22"/>
      <c r="RUQ44" s="22"/>
      <c r="RUR44" s="22"/>
      <c r="RUS44" s="22"/>
      <c r="RUT44" s="22"/>
      <c r="RUU44" s="22"/>
      <c r="RUV44" s="22"/>
      <c r="RUW44" s="22"/>
      <c r="RUX44" s="22"/>
      <c r="RUY44" s="22"/>
      <c r="RUZ44" s="22"/>
      <c r="RVA44" s="22"/>
      <c r="RVB44" s="22"/>
      <c r="RVC44" s="22"/>
      <c r="RVD44" s="22"/>
      <c r="RVE44" s="22"/>
      <c r="RVF44" s="22"/>
      <c r="RVG44" s="22"/>
      <c r="RVH44" s="22"/>
      <c r="RVI44" s="22"/>
      <c r="RVJ44" s="22"/>
      <c r="RVK44" s="22"/>
      <c r="RVL44" s="22"/>
      <c r="RVM44" s="22"/>
      <c r="RVN44" s="22"/>
      <c r="RVO44" s="22"/>
      <c r="RVP44" s="22"/>
      <c r="RVQ44" s="22"/>
      <c r="RVR44" s="22"/>
      <c r="RVS44" s="22"/>
      <c r="RVT44" s="22"/>
      <c r="RVU44" s="22"/>
      <c r="RVV44" s="22"/>
      <c r="RVW44" s="22"/>
      <c r="RVX44" s="22"/>
      <c r="RVY44" s="22"/>
      <c r="RVZ44" s="22"/>
      <c r="RWA44" s="22"/>
      <c r="RWB44" s="22"/>
      <c r="RWC44" s="22"/>
      <c r="RWD44" s="22"/>
      <c r="RWE44" s="22"/>
      <c r="RWF44" s="22"/>
      <c r="RWG44" s="22"/>
      <c r="RWH44" s="22"/>
      <c r="RWI44" s="22"/>
      <c r="RWJ44" s="22"/>
      <c r="RWK44" s="22"/>
      <c r="RWL44" s="22"/>
      <c r="RWM44" s="22"/>
      <c r="RWN44" s="22"/>
      <c r="RWO44" s="22"/>
      <c r="RWP44" s="22"/>
      <c r="RWQ44" s="22"/>
      <c r="RWR44" s="22"/>
      <c r="RWS44" s="22"/>
      <c r="RWT44" s="22"/>
      <c r="RWU44" s="22"/>
      <c r="RWV44" s="22"/>
      <c r="RWW44" s="22"/>
      <c r="RWX44" s="22"/>
      <c r="RWY44" s="22"/>
      <c r="RWZ44" s="22"/>
      <c r="RXA44" s="22"/>
      <c r="RXB44" s="22"/>
      <c r="RXC44" s="22"/>
      <c r="RXD44" s="22"/>
      <c r="RXE44" s="22"/>
      <c r="RXF44" s="22"/>
      <c r="RXG44" s="22"/>
      <c r="RXH44" s="22"/>
      <c r="RXI44" s="22"/>
      <c r="RXJ44" s="22"/>
      <c r="RXK44" s="22"/>
      <c r="RXL44" s="22"/>
      <c r="RXM44" s="22"/>
      <c r="RXN44" s="22"/>
      <c r="RXO44" s="22"/>
      <c r="RXP44" s="22"/>
      <c r="RXQ44" s="22"/>
      <c r="RXR44" s="22"/>
      <c r="RXS44" s="22"/>
      <c r="RXT44" s="22"/>
      <c r="RXU44" s="22"/>
      <c r="RXV44" s="22"/>
      <c r="RXW44" s="22"/>
      <c r="RXX44" s="22"/>
      <c r="RXY44" s="22"/>
      <c r="RXZ44" s="22"/>
      <c r="RYA44" s="22"/>
      <c r="RYB44" s="22"/>
      <c r="RYC44" s="22"/>
      <c r="RYD44" s="22"/>
      <c r="RYE44" s="22"/>
      <c r="RYF44" s="22"/>
      <c r="RYG44" s="22"/>
      <c r="RYH44" s="22"/>
      <c r="RYI44" s="22"/>
      <c r="RYJ44" s="22"/>
      <c r="RYK44" s="22"/>
      <c r="RYL44" s="22"/>
      <c r="RYM44" s="22"/>
      <c r="RYN44" s="22"/>
      <c r="RYO44" s="22"/>
      <c r="RYP44" s="22"/>
      <c r="RYQ44" s="22"/>
      <c r="RYR44" s="22"/>
      <c r="RYS44" s="22"/>
      <c r="RYT44" s="22"/>
      <c r="RYU44" s="22"/>
      <c r="RYV44" s="22"/>
      <c r="RYW44" s="22"/>
      <c r="RYX44" s="22"/>
      <c r="RYY44" s="22"/>
      <c r="RYZ44" s="22"/>
      <c r="RZA44" s="22"/>
      <c r="RZB44" s="22"/>
      <c r="RZC44" s="22"/>
      <c r="RZD44" s="22"/>
      <c r="RZE44" s="22"/>
      <c r="RZF44" s="22"/>
      <c r="RZG44" s="22"/>
      <c r="RZH44" s="22"/>
      <c r="RZI44" s="22"/>
      <c r="RZJ44" s="22"/>
      <c r="RZK44" s="22"/>
      <c r="RZL44" s="22"/>
      <c r="RZM44" s="22"/>
      <c r="RZN44" s="22"/>
      <c r="RZO44" s="22"/>
      <c r="RZP44" s="22"/>
      <c r="RZQ44" s="22"/>
      <c r="RZR44" s="22"/>
      <c r="RZS44" s="22"/>
      <c r="RZT44" s="22"/>
      <c r="RZU44" s="22"/>
      <c r="RZV44" s="22"/>
      <c r="RZW44" s="22"/>
      <c r="RZX44" s="22"/>
      <c r="RZY44" s="22"/>
      <c r="RZZ44" s="22"/>
      <c r="SAA44" s="22"/>
      <c r="SAB44" s="22"/>
      <c r="SAC44" s="22"/>
      <c r="SAD44" s="22"/>
      <c r="SAE44" s="22"/>
      <c r="SAF44" s="22"/>
      <c r="SAG44" s="22"/>
      <c r="SAH44" s="22"/>
      <c r="SAI44" s="22"/>
      <c r="SAJ44" s="22"/>
      <c r="SAK44" s="22"/>
      <c r="SAL44" s="22"/>
      <c r="SAM44" s="22"/>
      <c r="SAN44" s="22"/>
      <c r="SAO44" s="22"/>
      <c r="SAP44" s="22"/>
      <c r="SAQ44" s="22"/>
      <c r="SAR44" s="22"/>
      <c r="SAS44" s="22"/>
      <c r="SAT44" s="22"/>
      <c r="SAU44" s="22"/>
      <c r="SAV44" s="22"/>
      <c r="SAW44" s="22"/>
      <c r="SAX44" s="22"/>
      <c r="SAY44" s="22"/>
      <c r="SAZ44" s="22"/>
      <c r="SBA44" s="22"/>
      <c r="SBB44" s="22"/>
      <c r="SBC44" s="22"/>
      <c r="SBD44" s="22"/>
      <c r="SBE44" s="22"/>
      <c r="SBF44" s="22"/>
      <c r="SBG44" s="22"/>
      <c r="SBH44" s="22"/>
      <c r="SBI44" s="22"/>
      <c r="SBJ44" s="22"/>
      <c r="SBK44" s="22"/>
      <c r="SBL44" s="22"/>
      <c r="SBM44" s="22"/>
      <c r="SBN44" s="22"/>
      <c r="SBO44" s="22"/>
      <c r="SBP44" s="22"/>
      <c r="SBQ44" s="22"/>
      <c r="SBR44" s="22"/>
      <c r="SBS44" s="22"/>
      <c r="SBT44" s="22"/>
      <c r="SBU44" s="22"/>
      <c r="SBV44" s="22"/>
      <c r="SBW44" s="22"/>
      <c r="SBX44" s="22"/>
      <c r="SBY44" s="22"/>
      <c r="SBZ44" s="22"/>
      <c r="SCA44" s="22"/>
      <c r="SCB44" s="22"/>
      <c r="SCC44" s="22"/>
      <c r="SCD44" s="22"/>
      <c r="SCE44" s="22"/>
      <c r="SCF44" s="22"/>
      <c r="SCG44" s="22"/>
      <c r="SCH44" s="22"/>
      <c r="SCI44" s="22"/>
      <c r="SCJ44" s="22"/>
      <c r="SCK44" s="22"/>
      <c r="SCL44" s="22"/>
      <c r="SCM44" s="22"/>
      <c r="SCN44" s="22"/>
      <c r="SCO44" s="22"/>
      <c r="SCP44" s="22"/>
      <c r="SCQ44" s="22"/>
      <c r="SCR44" s="22"/>
      <c r="SCS44" s="22"/>
      <c r="SCT44" s="22"/>
      <c r="SCU44" s="22"/>
      <c r="SCV44" s="22"/>
      <c r="SCW44" s="22"/>
      <c r="SCX44" s="22"/>
      <c r="SCY44" s="22"/>
      <c r="SCZ44" s="22"/>
      <c r="SDA44" s="22"/>
      <c r="SDB44" s="22"/>
      <c r="SDC44" s="22"/>
      <c r="SDD44" s="22"/>
      <c r="SDE44" s="22"/>
      <c r="SDF44" s="22"/>
      <c r="SDG44" s="22"/>
      <c r="SDH44" s="22"/>
      <c r="SDI44" s="22"/>
      <c r="SDJ44" s="22"/>
      <c r="SDK44" s="22"/>
      <c r="SDL44" s="22"/>
      <c r="SDM44" s="22"/>
      <c r="SDN44" s="22"/>
      <c r="SDO44" s="22"/>
      <c r="SDP44" s="22"/>
      <c r="SDQ44" s="22"/>
      <c r="SDR44" s="22"/>
      <c r="SDS44" s="22"/>
      <c r="SDT44" s="22"/>
      <c r="SDU44" s="22"/>
      <c r="SDV44" s="22"/>
      <c r="SDW44" s="22"/>
      <c r="SDX44" s="22"/>
      <c r="SDY44" s="22"/>
      <c r="SDZ44" s="22"/>
      <c r="SEA44" s="22"/>
      <c r="SEB44" s="22"/>
      <c r="SEC44" s="22"/>
      <c r="SED44" s="22"/>
      <c r="SEE44" s="22"/>
      <c r="SEF44" s="22"/>
      <c r="SEG44" s="22"/>
      <c r="SEH44" s="22"/>
      <c r="SEI44" s="22"/>
      <c r="SEJ44" s="22"/>
      <c r="SEK44" s="22"/>
      <c r="SEL44" s="22"/>
      <c r="SEM44" s="22"/>
      <c r="SEN44" s="22"/>
      <c r="SEO44" s="22"/>
      <c r="SEP44" s="22"/>
      <c r="SEQ44" s="22"/>
      <c r="SER44" s="22"/>
      <c r="SES44" s="22"/>
      <c r="SET44" s="22"/>
      <c r="SEU44" s="22"/>
      <c r="SEV44" s="22"/>
      <c r="SEW44" s="22"/>
      <c r="SEX44" s="22"/>
      <c r="SEY44" s="22"/>
      <c r="SEZ44" s="22"/>
      <c r="SFA44" s="22"/>
      <c r="SFB44" s="22"/>
      <c r="SFC44" s="22"/>
      <c r="SFD44" s="22"/>
      <c r="SFE44" s="22"/>
      <c r="SFF44" s="22"/>
      <c r="SFG44" s="22"/>
      <c r="SFH44" s="22"/>
      <c r="SFI44" s="22"/>
      <c r="SFJ44" s="22"/>
      <c r="SFK44" s="22"/>
      <c r="SFL44" s="22"/>
      <c r="SFM44" s="22"/>
      <c r="SFN44" s="22"/>
      <c r="SFO44" s="22"/>
      <c r="SFP44" s="22"/>
      <c r="SFQ44" s="22"/>
      <c r="SFR44" s="22"/>
      <c r="SFS44" s="22"/>
      <c r="SFT44" s="22"/>
      <c r="SFU44" s="22"/>
      <c r="SFV44" s="22"/>
      <c r="SFW44" s="22"/>
      <c r="SFX44" s="22"/>
      <c r="SFY44" s="22"/>
      <c r="SFZ44" s="22"/>
      <c r="SGA44" s="22"/>
      <c r="SGB44" s="22"/>
      <c r="SGC44" s="22"/>
      <c r="SGD44" s="22"/>
      <c r="SGE44" s="22"/>
      <c r="SGF44" s="22"/>
      <c r="SGG44" s="22"/>
      <c r="SGH44" s="22"/>
      <c r="SGI44" s="22"/>
      <c r="SGJ44" s="22"/>
      <c r="SGK44" s="22"/>
      <c r="SGL44" s="22"/>
      <c r="SGM44" s="22"/>
      <c r="SGN44" s="22"/>
      <c r="SGO44" s="22"/>
      <c r="SGP44" s="22"/>
      <c r="SGQ44" s="22"/>
      <c r="SGR44" s="22"/>
      <c r="SGS44" s="22"/>
      <c r="SGT44" s="22"/>
      <c r="SGU44" s="22"/>
      <c r="SGV44" s="22"/>
      <c r="SGW44" s="22"/>
      <c r="SGX44" s="22"/>
      <c r="SGY44" s="22"/>
      <c r="SGZ44" s="22"/>
      <c r="SHA44" s="22"/>
      <c r="SHB44" s="22"/>
      <c r="SHC44" s="22"/>
      <c r="SHD44" s="22"/>
      <c r="SHE44" s="22"/>
      <c r="SHF44" s="22"/>
      <c r="SHG44" s="22"/>
      <c r="SHH44" s="22"/>
      <c r="SHI44" s="22"/>
      <c r="SHJ44" s="22"/>
      <c r="SHK44" s="22"/>
      <c r="SHL44" s="22"/>
      <c r="SHM44" s="22"/>
      <c r="SHN44" s="22"/>
      <c r="SHO44" s="22"/>
      <c r="SHP44" s="22"/>
      <c r="SHQ44" s="22"/>
      <c r="SHR44" s="22"/>
      <c r="SHS44" s="22"/>
      <c r="SHT44" s="22"/>
      <c r="SHU44" s="22"/>
      <c r="SHV44" s="22"/>
      <c r="SHW44" s="22"/>
      <c r="SHX44" s="22"/>
      <c r="SHY44" s="22"/>
      <c r="SHZ44" s="22"/>
      <c r="SIA44" s="22"/>
      <c r="SIB44" s="22"/>
      <c r="SIC44" s="22"/>
      <c r="SID44" s="22"/>
      <c r="SIE44" s="22"/>
      <c r="SIF44" s="22"/>
      <c r="SIG44" s="22"/>
      <c r="SIH44" s="22"/>
      <c r="SII44" s="22"/>
      <c r="SIJ44" s="22"/>
      <c r="SIK44" s="22"/>
      <c r="SIL44" s="22"/>
      <c r="SIM44" s="22"/>
      <c r="SIN44" s="22"/>
      <c r="SIO44" s="22"/>
      <c r="SIP44" s="22"/>
      <c r="SIQ44" s="22"/>
      <c r="SIR44" s="22"/>
      <c r="SIS44" s="22"/>
      <c r="SIT44" s="22"/>
      <c r="SIU44" s="22"/>
      <c r="SIV44" s="22"/>
      <c r="SIW44" s="22"/>
      <c r="SIX44" s="22"/>
      <c r="SIY44" s="22"/>
      <c r="SIZ44" s="22"/>
      <c r="SJA44" s="22"/>
      <c r="SJB44" s="22"/>
      <c r="SJC44" s="22"/>
      <c r="SJD44" s="22"/>
      <c r="SJE44" s="22"/>
      <c r="SJF44" s="22"/>
      <c r="SJG44" s="22"/>
      <c r="SJH44" s="22"/>
      <c r="SJI44" s="22"/>
      <c r="SJJ44" s="22"/>
      <c r="SJK44" s="22"/>
      <c r="SJL44" s="22"/>
      <c r="SJM44" s="22"/>
      <c r="SJN44" s="22"/>
      <c r="SJO44" s="22"/>
      <c r="SJP44" s="22"/>
      <c r="SJQ44" s="22"/>
      <c r="SJR44" s="22"/>
      <c r="SJS44" s="22"/>
      <c r="SJT44" s="22"/>
      <c r="SJU44" s="22"/>
      <c r="SJV44" s="22"/>
      <c r="SJW44" s="22"/>
      <c r="SJX44" s="22"/>
      <c r="SJY44" s="22"/>
      <c r="SJZ44" s="22"/>
      <c r="SKA44" s="22"/>
      <c r="SKB44" s="22"/>
      <c r="SKC44" s="22"/>
      <c r="SKD44" s="22"/>
      <c r="SKE44" s="22"/>
      <c r="SKF44" s="22"/>
      <c r="SKG44" s="22"/>
      <c r="SKH44" s="22"/>
      <c r="SKI44" s="22"/>
      <c r="SKJ44" s="22"/>
      <c r="SKK44" s="22"/>
      <c r="SKL44" s="22"/>
      <c r="SKM44" s="22"/>
      <c r="SKN44" s="22"/>
      <c r="SKO44" s="22"/>
      <c r="SKP44" s="22"/>
      <c r="SKQ44" s="22"/>
      <c r="SKR44" s="22"/>
      <c r="SKS44" s="22"/>
      <c r="SKT44" s="22"/>
      <c r="SKU44" s="22"/>
      <c r="SKV44" s="22"/>
      <c r="SKW44" s="22"/>
      <c r="SKX44" s="22"/>
      <c r="SKY44" s="22"/>
      <c r="SKZ44" s="22"/>
      <c r="SLA44" s="22"/>
      <c r="SLB44" s="22"/>
      <c r="SLC44" s="22"/>
      <c r="SLD44" s="22"/>
      <c r="SLE44" s="22"/>
      <c r="SLF44" s="22"/>
      <c r="SLG44" s="22"/>
      <c r="SLH44" s="22"/>
      <c r="SLI44" s="22"/>
      <c r="SLJ44" s="22"/>
      <c r="SLK44" s="22"/>
      <c r="SLL44" s="22"/>
      <c r="SLM44" s="22"/>
      <c r="SLN44" s="22"/>
      <c r="SLO44" s="22"/>
      <c r="SLP44" s="22"/>
      <c r="SLQ44" s="22"/>
      <c r="SLR44" s="22"/>
      <c r="SLS44" s="22"/>
      <c r="SLT44" s="22"/>
      <c r="SLU44" s="22"/>
      <c r="SLV44" s="22"/>
      <c r="SLW44" s="22"/>
      <c r="SLX44" s="22"/>
      <c r="SLY44" s="22"/>
      <c r="SLZ44" s="22"/>
      <c r="SMA44" s="22"/>
      <c r="SMB44" s="22"/>
      <c r="SMC44" s="22"/>
      <c r="SMD44" s="22"/>
      <c r="SME44" s="22"/>
      <c r="SMF44" s="22"/>
      <c r="SMG44" s="22"/>
      <c r="SMH44" s="22"/>
      <c r="SMI44" s="22"/>
      <c r="SMJ44" s="22"/>
      <c r="SMK44" s="22"/>
      <c r="SML44" s="22"/>
      <c r="SMM44" s="22"/>
      <c r="SMN44" s="22"/>
      <c r="SMO44" s="22"/>
      <c r="SMP44" s="22"/>
      <c r="SMQ44" s="22"/>
      <c r="SMR44" s="22"/>
      <c r="SMS44" s="22"/>
      <c r="SMT44" s="22"/>
      <c r="SMU44" s="22"/>
      <c r="SMV44" s="22"/>
      <c r="SMW44" s="22"/>
      <c r="SMX44" s="22"/>
      <c r="SMY44" s="22"/>
      <c r="SMZ44" s="22"/>
      <c r="SNA44" s="22"/>
      <c r="SNB44" s="22"/>
      <c r="SNC44" s="22"/>
      <c r="SND44" s="22"/>
      <c r="SNE44" s="22"/>
      <c r="SNF44" s="22"/>
      <c r="SNG44" s="22"/>
      <c r="SNH44" s="22"/>
      <c r="SNI44" s="22"/>
      <c r="SNJ44" s="22"/>
      <c r="SNK44" s="22"/>
      <c r="SNL44" s="22"/>
      <c r="SNM44" s="22"/>
      <c r="SNN44" s="22"/>
      <c r="SNO44" s="22"/>
      <c r="SNP44" s="22"/>
      <c r="SNQ44" s="22"/>
      <c r="SNR44" s="22"/>
      <c r="SNS44" s="22"/>
      <c r="SNT44" s="22"/>
      <c r="SNU44" s="22"/>
      <c r="SNV44" s="22"/>
      <c r="SNW44" s="22"/>
      <c r="SNX44" s="22"/>
      <c r="SNY44" s="22"/>
      <c r="SNZ44" s="22"/>
      <c r="SOA44" s="22"/>
      <c r="SOB44" s="22"/>
      <c r="SOC44" s="22"/>
      <c r="SOD44" s="22"/>
      <c r="SOE44" s="22"/>
      <c r="SOF44" s="22"/>
      <c r="SOG44" s="22"/>
      <c r="SOH44" s="22"/>
      <c r="SOI44" s="22"/>
      <c r="SOJ44" s="22"/>
      <c r="SOK44" s="22"/>
      <c r="SOL44" s="22"/>
      <c r="SOM44" s="22"/>
      <c r="SON44" s="22"/>
      <c r="SOO44" s="22"/>
      <c r="SOP44" s="22"/>
      <c r="SOQ44" s="22"/>
      <c r="SOR44" s="22"/>
      <c r="SOS44" s="22"/>
      <c r="SOT44" s="22"/>
      <c r="SOU44" s="22"/>
      <c r="SOV44" s="22"/>
      <c r="SOW44" s="22"/>
      <c r="SOX44" s="22"/>
      <c r="SOY44" s="22"/>
      <c r="SOZ44" s="22"/>
      <c r="SPA44" s="22"/>
      <c r="SPB44" s="22"/>
      <c r="SPC44" s="22"/>
      <c r="SPD44" s="22"/>
      <c r="SPE44" s="22"/>
      <c r="SPF44" s="22"/>
      <c r="SPG44" s="22"/>
      <c r="SPH44" s="22"/>
      <c r="SPI44" s="22"/>
      <c r="SPJ44" s="22"/>
      <c r="SPK44" s="22"/>
      <c r="SPL44" s="22"/>
      <c r="SPM44" s="22"/>
      <c r="SPN44" s="22"/>
      <c r="SPO44" s="22"/>
      <c r="SPP44" s="22"/>
      <c r="SPQ44" s="22"/>
      <c r="SPR44" s="22"/>
      <c r="SPS44" s="22"/>
      <c r="SPT44" s="22"/>
      <c r="SPU44" s="22"/>
      <c r="SPV44" s="22"/>
      <c r="SPW44" s="22"/>
      <c r="SPX44" s="22"/>
      <c r="SPY44" s="22"/>
      <c r="SPZ44" s="22"/>
      <c r="SQA44" s="22"/>
      <c r="SQB44" s="22"/>
      <c r="SQC44" s="22"/>
      <c r="SQD44" s="22"/>
      <c r="SQE44" s="22"/>
      <c r="SQF44" s="22"/>
      <c r="SQG44" s="22"/>
      <c r="SQH44" s="22"/>
      <c r="SQI44" s="22"/>
      <c r="SQJ44" s="22"/>
      <c r="SQK44" s="22"/>
      <c r="SQL44" s="22"/>
      <c r="SQM44" s="22"/>
      <c r="SQN44" s="22"/>
      <c r="SQO44" s="22"/>
      <c r="SQP44" s="22"/>
      <c r="SQQ44" s="22"/>
      <c r="SQR44" s="22"/>
      <c r="SQS44" s="22"/>
      <c r="SQT44" s="22"/>
      <c r="SQU44" s="22"/>
      <c r="SQV44" s="22"/>
      <c r="SQW44" s="22"/>
      <c r="SQX44" s="22"/>
      <c r="SQY44" s="22"/>
      <c r="SQZ44" s="22"/>
      <c r="SRA44" s="22"/>
      <c r="SRB44" s="22"/>
      <c r="SRC44" s="22"/>
      <c r="SRD44" s="22"/>
      <c r="SRE44" s="22"/>
      <c r="SRF44" s="22"/>
      <c r="SRG44" s="22"/>
      <c r="SRH44" s="22"/>
      <c r="SRI44" s="22"/>
      <c r="SRJ44" s="22"/>
      <c r="SRK44" s="22"/>
      <c r="SRL44" s="22"/>
      <c r="SRM44" s="22"/>
      <c r="SRN44" s="22"/>
      <c r="SRO44" s="22"/>
      <c r="SRP44" s="22"/>
      <c r="SRQ44" s="22"/>
      <c r="SRR44" s="22"/>
      <c r="SRS44" s="22"/>
      <c r="SRT44" s="22"/>
      <c r="SRU44" s="22"/>
      <c r="SRV44" s="22"/>
      <c r="SRW44" s="22"/>
      <c r="SRX44" s="22"/>
      <c r="SRY44" s="22"/>
      <c r="SRZ44" s="22"/>
      <c r="SSA44" s="22"/>
      <c r="SSB44" s="22"/>
      <c r="SSC44" s="22"/>
      <c r="SSD44" s="22"/>
      <c r="SSE44" s="22"/>
      <c r="SSF44" s="22"/>
      <c r="SSG44" s="22"/>
      <c r="SSH44" s="22"/>
      <c r="SSI44" s="22"/>
      <c r="SSJ44" s="22"/>
      <c r="SSK44" s="22"/>
      <c r="SSL44" s="22"/>
      <c r="SSM44" s="22"/>
      <c r="SSN44" s="22"/>
      <c r="SSO44" s="22"/>
      <c r="SSP44" s="22"/>
      <c r="SSQ44" s="22"/>
      <c r="SSR44" s="22"/>
      <c r="SSS44" s="22"/>
      <c r="SST44" s="22"/>
      <c r="SSU44" s="22"/>
      <c r="SSV44" s="22"/>
      <c r="SSW44" s="22"/>
      <c r="SSX44" s="22"/>
      <c r="SSY44" s="22"/>
      <c r="SSZ44" s="22"/>
      <c r="STA44" s="22"/>
      <c r="STB44" s="22"/>
      <c r="STC44" s="22"/>
      <c r="STD44" s="22"/>
      <c r="STE44" s="22"/>
      <c r="STF44" s="22"/>
      <c r="STG44" s="22"/>
      <c r="STH44" s="22"/>
      <c r="STI44" s="22"/>
      <c r="STJ44" s="22"/>
      <c r="STK44" s="22"/>
      <c r="STL44" s="22"/>
      <c r="STM44" s="22"/>
      <c r="STN44" s="22"/>
      <c r="STO44" s="22"/>
      <c r="STP44" s="22"/>
      <c r="STQ44" s="22"/>
      <c r="STR44" s="22"/>
      <c r="STS44" s="22"/>
      <c r="STT44" s="22"/>
      <c r="STU44" s="22"/>
      <c r="STV44" s="22"/>
      <c r="STW44" s="22"/>
      <c r="STX44" s="22"/>
      <c r="STY44" s="22"/>
      <c r="STZ44" s="22"/>
      <c r="SUA44" s="22"/>
      <c r="SUB44" s="22"/>
      <c r="SUC44" s="22"/>
      <c r="SUD44" s="22"/>
      <c r="SUE44" s="22"/>
      <c r="SUF44" s="22"/>
      <c r="SUG44" s="22"/>
      <c r="SUH44" s="22"/>
      <c r="SUI44" s="22"/>
      <c r="SUJ44" s="22"/>
      <c r="SUK44" s="22"/>
      <c r="SUL44" s="22"/>
      <c r="SUM44" s="22"/>
      <c r="SUN44" s="22"/>
      <c r="SUO44" s="22"/>
      <c r="SUP44" s="22"/>
      <c r="SUQ44" s="22"/>
      <c r="SUR44" s="22"/>
      <c r="SUS44" s="22"/>
      <c r="SUT44" s="22"/>
      <c r="SUU44" s="22"/>
      <c r="SUV44" s="22"/>
      <c r="SUW44" s="22"/>
      <c r="SUX44" s="22"/>
      <c r="SUY44" s="22"/>
      <c r="SUZ44" s="22"/>
      <c r="SVA44" s="22"/>
      <c r="SVB44" s="22"/>
      <c r="SVC44" s="22"/>
      <c r="SVD44" s="22"/>
      <c r="SVE44" s="22"/>
      <c r="SVF44" s="22"/>
      <c r="SVG44" s="22"/>
      <c r="SVH44" s="22"/>
      <c r="SVI44" s="22"/>
      <c r="SVJ44" s="22"/>
      <c r="SVK44" s="22"/>
      <c r="SVL44" s="22"/>
      <c r="SVM44" s="22"/>
      <c r="SVN44" s="22"/>
      <c r="SVO44" s="22"/>
      <c r="SVP44" s="22"/>
      <c r="SVQ44" s="22"/>
      <c r="SVR44" s="22"/>
      <c r="SVS44" s="22"/>
      <c r="SVT44" s="22"/>
      <c r="SVU44" s="22"/>
      <c r="SVV44" s="22"/>
      <c r="SVW44" s="22"/>
      <c r="SVX44" s="22"/>
      <c r="SVY44" s="22"/>
      <c r="SVZ44" s="22"/>
      <c r="SWA44" s="22"/>
      <c r="SWB44" s="22"/>
      <c r="SWC44" s="22"/>
      <c r="SWD44" s="22"/>
      <c r="SWE44" s="22"/>
      <c r="SWF44" s="22"/>
      <c r="SWG44" s="22"/>
      <c r="SWH44" s="22"/>
      <c r="SWI44" s="22"/>
      <c r="SWJ44" s="22"/>
      <c r="SWK44" s="22"/>
      <c r="SWL44" s="22"/>
      <c r="SWM44" s="22"/>
      <c r="SWN44" s="22"/>
      <c r="SWO44" s="22"/>
      <c r="SWP44" s="22"/>
      <c r="SWQ44" s="22"/>
      <c r="SWR44" s="22"/>
      <c r="SWS44" s="22"/>
      <c r="SWT44" s="22"/>
      <c r="SWU44" s="22"/>
      <c r="SWV44" s="22"/>
      <c r="SWW44" s="22"/>
      <c r="SWX44" s="22"/>
      <c r="SWY44" s="22"/>
      <c r="SWZ44" s="22"/>
      <c r="SXA44" s="22"/>
      <c r="SXB44" s="22"/>
      <c r="SXC44" s="22"/>
      <c r="SXD44" s="22"/>
      <c r="SXE44" s="22"/>
      <c r="SXF44" s="22"/>
      <c r="SXG44" s="22"/>
      <c r="SXH44" s="22"/>
      <c r="SXI44" s="22"/>
      <c r="SXJ44" s="22"/>
      <c r="SXK44" s="22"/>
      <c r="SXL44" s="22"/>
      <c r="SXM44" s="22"/>
      <c r="SXN44" s="22"/>
      <c r="SXO44" s="22"/>
      <c r="SXP44" s="22"/>
      <c r="SXQ44" s="22"/>
      <c r="SXR44" s="22"/>
      <c r="SXS44" s="22"/>
      <c r="SXT44" s="22"/>
      <c r="SXU44" s="22"/>
      <c r="SXV44" s="22"/>
      <c r="SXW44" s="22"/>
      <c r="SXX44" s="22"/>
      <c r="SXY44" s="22"/>
      <c r="SXZ44" s="22"/>
      <c r="SYA44" s="22"/>
      <c r="SYB44" s="22"/>
      <c r="SYC44" s="22"/>
      <c r="SYD44" s="22"/>
      <c r="SYE44" s="22"/>
      <c r="SYF44" s="22"/>
      <c r="SYG44" s="22"/>
      <c r="SYH44" s="22"/>
      <c r="SYI44" s="22"/>
      <c r="SYJ44" s="22"/>
      <c r="SYK44" s="22"/>
      <c r="SYL44" s="22"/>
      <c r="SYM44" s="22"/>
      <c r="SYN44" s="22"/>
      <c r="SYO44" s="22"/>
      <c r="SYP44" s="22"/>
      <c r="SYQ44" s="22"/>
      <c r="SYR44" s="22"/>
      <c r="SYS44" s="22"/>
      <c r="SYT44" s="22"/>
      <c r="SYU44" s="22"/>
      <c r="SYV44" s="22"/>
      <c r="SYW44" s="22"/>
      <c r="SYX44" s="22"/>
      <c r="SYY44" s="22"/>
      <c r="SYZ44" s="22"/>
      <c r="SZA44" s="22"/>
      <c r="SZB44" s="22"/>
      <c r="SZC44" s="22"/>
      <c r="SZD44" s="22"/>
      <c r="SZE44" s="22"/>
      <c r="SZF44" s="22"/>
      <c r="SZG44" s="22"/>
      <c r="SZH44" s="22"/>
      <c r="SZI44" s="22"/>
      <c r="SZJ44" s="22"/>
      <c r="SZK44" s="22"/>
      <c r="SZL44" s="22"/>
      <c r="SZM44" s="22"/>
      <c r="SZN44" s="22"/>
      <c r="SZO44" s="22"/>
      <c r="SZP44" s="22"/>
      <c r="SZQ44" s="22"/>
      <c r="SZR44" s="22"/>
      <c r="SZS44" s="22"/>
      <c r="SZT44" s="22"/>
      <c r="SZU44" s="22"/>
      <c r="SZV44" s="22"/>
      <c r="SZW44" s="22"/>
      <c r="SZX44" s="22"/>
      <c r="SZY44" s="22"/>
      <c r="SZZ44" s="22"/>
      <c r="TAA44" s="22"/>
      <c r="TAB44" s="22"/>
      <c r="TAC44" s="22"/>
      <c r="TAD44" s="22"/>
      <c r="TAE44" s="22"/>
      <c r="TAF44" s="22"/>
      <c r="TAG44" s="22"/>
      <c r="TAH44" s="22"/>
      <c r="TAI44" s="22"/>
      <c r="TAJ44" s="22"/>
      <c r="TAK44" s="22"/>
      <c r="TAL44" s="22"/>
      <c r="TAM44" s="22"/>
      <c r="TAN44" s="22"/>
      <c r="TAO44" s="22"/>
      <c r="TAP44" s="22"/>
      <c r="TAQ44" s="22"/>
      <c r="TAR44" s="22"/>
      <c r="TAS44" s="22"/>
      <c r="TAT44" s="22"/>
      <c r="TAU44" s="22"/>
      <c r="TAV44" s="22"/>
      <c r="TAW44" s="22"/>
      <c r="TAX44" s="22"/>
      <c r="TAY44" s="22"/>
      <c r="TAZ44" s="22"/>
      <c r="TBA44" s="22"/>
      <c r="TBB44" s="22"/>
      <c r="TBC44" s="22"/>
      <c r="TBD44" s="22"/>
      <c r="TBE44" s="22"/>
      <c r="TBF44" s="22"/>
      <c r="TBG44" s="22"/>
      <c r="TBH44" s="22"/>
      <c r="TBI44" s="22"/>
      <c r="TBJ44" s="22"/>
      <c r="TBK44" s="22"/>
      <c r="TBL44" s="22"/>
      <c r="TBM44" s="22"/>
      <c r="TBN44" s="22"/>
      <c r="TBO44" s="22"/>
      <c r="TBP44" s="22"/>
      <c r="TBQ44" s="22"/>
      <c r="TBR44" s="22"/>
      <c r="TBS44" s="22"/>
      <c r="TBT44" s="22"/>
      <c r="TBU44" s="22"/>
      <c r="TBV44" s="22"/>
      <c r="TBW44" s="22"/>
      <c r="TBX44" s="22"/>
      <c r="TBY44" s="22"/>
      <c r="TBZ44" s="22"/>
      <c r="TCA44" s="22"/>
      <c r="TCB44" s="22"/>
      <c r="TCC44" s="22"/>
      <c r="TCD44" s="22"/>
      <c r="TCE44" s="22"/>
      <c r="TCF44" s="22"/>
      <c r="TCG44" s="22"/>
      <c r="TCH44" s="22"/>
      <c r="TCI44" s="22"/>
      <c r="TCJ44" s="22"/>
      <c r="TCK44" s="22"/>
      <c r="TCL44" s="22"/>
      <c r="TCM44" s="22"/>
      <c r="TCN44" s="22"/>
      <c r="TCO44" s="22"/>
      <c r="TCP44" s="22"/>
      <c r="TCQ44" s="22"/>
      <c r="TCR44" s="22"/>
      <c r="TCS44" s="22"/>
      <c r="TCT44" s="22"/>
      <c r="TCU44" s="22"/>
      <c r="TCV44" s="22"/>
      <c r="TCW44" s="22"/>
      <c r="TCX44" s="22"/>
      <c r="TCY44" s="22"/>
      <c r="TCZ44" s="22"/>
      <c r="TDA44" s="22"/>
      <c r="TDB44" s="22"/>
      <c r="TDC44" s="22"/>
      <c r="TDD44" s="22"/>
      <c r="TDE44" s="22"/>
      <c r="TDF44" s="22"/>
      <c r="TDG44" s="22"/>
      <c r="TDH44" s="22"/>
      <c r="TDI44" s="22"/>
      <c r="TDJ44" s="22"/>
      <c r="TDK44" s="22"/>
      <c r="TDL44" s="22"/>
      <c r="TDM44" s="22"/>
      <c r="TDN44" s="22"/>
      <c r="TDO44" s="22"/>
      <c r="TDP44" s="22"/>
      <c r="TDQ44" s="22"/>
      <c r="TDR44" s="22"/>
      <c r="TDS44" s="22"/>
      <c r="TDT44" s="22"/>
      <c r="TDU44" s="22"/>
      <c r="TDV44" s="22"/>
      <c r="TDW44" s="22"/>
      <c r="TDX44" s="22"/>
      <c r="TDY44" s="22"/>
      <c r="TDZ44" s="22"/>
      <c r="TEA44" s="22"/>
      <c r="TEB44" s="22"/>
      <c r="TEC44" s="22"/>
      <c r="TED44" s="22"/>
      <c r="TEE44" s="22"/>
      <c r="TEF44" s="22"/>
      <c r="TEG44" s="22"/>
      <c r="TEH44" s="22"/>
      <c r="TEI44" s="22"/>
      <c r="TEJ44" s="22"/>
      <c r="TEK44" s="22"/>
      <c r="TEL44" s="22"/>
      <c r="TEM44" s="22"/>
      <c r="TEN44" s="22"/>
      <c r="TEO44" s="22"/>
      <c r="TEP44" s="22"/>
      <c r="TEQ44" s="22"/>
      <c r="TER44" s="22"/>
      <c r="TES44" s="22"/>
      <c r="TET44" s="22"/>
      <c r="TEU44" s="22"/>
      <c r="TEV44" s="22"/>
      <c r="TEW44" s="22"/>
      <c r="TEX44" s="22"/>
      <c r="TEY44" s="22"/>
      <c r="TEZ44" s="22"/>
      <c r="TFA44" s="22"/>
      <c r="TFB44" s="22"/>
      <c r="TFC44" s="22"/>
      <c r="TFD44" s="22"/>
      <c r="TFE44" s="22"/>
      <c r="TFF44" s="22"/>
      <c r="TFG44" s="22"/>
      <c r="TFH44" s="22"/>
      <c r="TFI44" s="22"/>
      <c r="TFJ44" s="22"/>
      <c r="TFK44" s="22"/>
      <c r="TFL44" s="22"/>
      <c r="TFM44" s="22"/>
      <c r="TFN44" s="22"/>
      <c r="TFO44" s="22"/>
      <c r="TFP44" s="22"/>
      <c r="TFQ44" s="22"/>
      <c r="TFR44" s="22"/>
      <c r="TFS44" s="22"/>
      <c r="TFT44" s="22"/>
      <c r="TFU44" s="22"/>
      <c r="TFV44" s="22"/>
      <c r="TFW44" s="22"/>
      <c r="TFX44" s="22"/>
      <c r="TFY44" s="22"/>
      <c r="TFZ44" s="22"/>
      <c r="TGA44" s="22"/>
      <c r="TGB44" s="22"/>
      <c r="TGC44" s="22"/>
      <c r="TGD44" s="22"/>
      <c r="TGE44" s="22"/>
      <c r="TGF44" s="22"/>
      <c r="TGG44" s="22"/>
      <c r="TGH44" s="22"/>
      <c r="TGI44" s="22"/>
      <c r="TGJ44" s="22"/>
      <c r="TGK44" s="22"/>
      <c r="TGL44" s="22"/>
      <c r="TGM44" s="22"/>
      <c r="TGN44" s="22"/>
      <c r="TGO44" s="22"/>
      <c r="TGP44" s="22"/>
      <c r="TGQ44" s="22"/>
      <c r="TGR44" s="22"/>
      <c r="TGS44" s="22"/>
      <c r="TGT44" s="22"/>
      <c r="TGU44" s="22"/>
      <c r="TGV44" s="22"/>
      <c r="TGW44" s="22"/>
      <c r="TGX44" s="22"/>
      <c r="TGY44" s="22"/>
      <c r="TGZ44" s="22"/>
      <c r="THA44" s="22"/>
      <c r="THB44" s="22"/>
      <c r="THC44" s="22"/>
      <c r="THD44" s="22"/>
      <c r="THE44" s="22"/>
      <c r="THF44" s="22"/>
      <c r="THG44" s="22"/>
      <c r="THH44" s="22"/>
      <c r="THI44" s="22"/>
      <c r="THJ44" s="22"/>
      <c r="THK44" s="22"/>
      <c r="THL44" s="22"/>
      <c r="THM44" s="22"/>
      <c r="THN44" s="22"/>
      <c r="THO44" s="22"/>
      <c r="THP44" s="22"/>
      <c r="THQ44" s="22"/>
      <c r="THR44" s="22"/>
      <c r="THS44" s="22"/>
      <c r="THT44" s="22"/>
      <c r="THU44" s="22"/>
      <c r="THV44" s="22"/>
      <c r="THW44" s="22"/>
      <c r="THX44" s="22"/>
      <c r="THY44" s="22"/>
      <c r="THZ44" s="22"/>
      <c r="TIA44" s="22"/>
      <c r="TIB44" s="22"/>
      <c r="TIC44" s="22"/>
      <c r="TID44" s="22"/>
      <c r="TIE44" s="22"/>
      <c r="TIF44" s="22"/>
      <c r="TIG44" s="22"/>
      <c r="TIH44" s="22"/>
      <c r="TII44" s="22"/>
      <c r="TIJ44" s="22"/>
      <c r="TIK44" s="22"/>
      <c r="TIL44" s="22"/>
      <c r="TIM44" s="22"/>
      <c r="TIN44" s="22"/>
      <c r="TIO44" s="22"/>
      <c r="TIP44" s="22"/>
      <c r="TIQ44" s="22"/>
      <c r="TIR44" s="22"/>
      <c r="TIS44" s="22"/>
      <c r="TIT44" s="22"/>
      <c r="TIU44" s="22"/>
      <c r="TIV44" s="22"/>
      <c r="TIW44" s="22"/>
      <c r="TIX44" s="22"/>
      <c r="TIY44" s="22"/>
      <c r="TIZ44" s="22"/>
      <c r="TJA44" s="22"/>
      <c r="TJB44" s="22"/>
      <c r="TJC44" s="22"/>
      <c r="TJD44" s="22"/>
      <c r="TJE44" s="22"/>
      <c r="TJF44" s="22"/>
      <c r="TJG44" s="22"/>
      <c r="TJH44" s="22"/>
      <c r="TJI44" s="22"/>
      <c r="TJJ44" s="22"/>
      <c r="TJK44" s="22"/>
      <c r="TJL44" s="22"/>
      <c r="TJM44" s="22"/>
      <c r="TJN44" s="22"/>
      <c r="TJO44" s="22"/>
      <c r="TJP44" s="22"/>
      <c r="TJQ44" s="22"/>
      <c r="TJR44" s="22"/>
      <c r="TJS44" s="22"/>
      <c r="TJT44" s="22"/>
      <c r="TJU44" s="22"/>
      <c r="TJV44" s="22"/>
      <c r="TJW44" s="22"/>
      <c r="TJX44" s="22"/>
      <c r="TJY44" s="22"/>
      <c r="TJZ44" s="22"/>
      <c r="TKA44" s="22"/>
      <c r="TKB44" s="22"/>
      <c r="TKC44" s="22"/>
      <c r="TKD44" s="22"/>
      <c r="TKE44" s="22"/>
      <c r="TKF44" s="22"/>
      <c r="TKG44" s="22"/>
      <c r="TKH44" s="22"/>
      <c r="TKI44" s="22"/>
      <c r="TKJ44" s="22"/>
      <c r="TKK44" s="22"/>
      <c r="TKL44" s="22"/>
      <c r="TKM44" s="22"/>
      <c r="TKN44" s="22"/>
      <c r="TKO44" s="22"/>
      <c r="TKP44" s="22"/>
      <c r="TKQ44" s="22"/>
      <c r="TKR44" s="22"/>
      <c r="TKS44" s="22"/>
      <c r="TKT44" s="22"/>
      <c r="TKU44" s="22"/>
      <c r="TKV44" s="22"/>
      <c r="TKW44" s="22"/>
      <c r="TKX44" s="22"/>
      <c r="TKY44" s="22"/>
      <c r="TKZ44" s="22"/>
      <c r="TLA44" s="22"/>
      <c r="TLB44" s="22"/>
      <c r="TLC44" s="22"/>
      <c r="TLD44" s="22"/>
      <c r="TLE44" s="22"/>
      <c r="TLF44" s="22"/>
      <c r="TLG44" s="22"/>
      <c r="TLH44" s="22"/>
      <c r="TLI44" s="22"/>
      <c r="TLJ44" s="22"/>
      <c r="TLK44" s="22"/>
      <c r="TLL44" s="22"/>
      <c r="TLM44" s="22"/>
      <c r="TLN44" s="22"/>
      <c r="TLO44" s="22"/>
      <c r="TLP44" s="22"/>
      <c r="TLQ44" s="22"/>
      <c r="TLR44" s="22"/>
      <c r="TLS44" s="22"/>
      <c r="TLT44" s="22"/>
      <c r="TLU44" s="22"/>
      <c r="TLV44" s="22"/>
      <c r="TLW44" s="22"/>
      <c r="TLX44" s="22"/>
      <c r="TLY44" s="22"/>
      <c r="TLZ44" s="22"/>
      <c r="TMA44" s="22"/>
      <c r="TMB44" s="22"/>
      <c r="TMC44" s="22"/>
      <c r="TMD44" s="22"/>
      <c r="TME44" s="22"/>
      <c r="TMF44" s="22"/>
      <c r="TMG44" s="22"/>
      <c r="TMH44" s="22"/>
      <c r="TMI44" s="22"/>
      <c r="TMJ44" s="22"/>
      <c r="TMK44" s="22"/>
      <c r="TML44" s="22"/>
      <c r="TMM44" s="22"/>
      <c r="TMN44" s="22"/>
      <c r="TMO44" s="22"/>
      <c r="TMP44" s="22"/>
      <c r="TMQ44" s="22"/>
      <c r="TMR44" s="22"/>
      <c r="TMS44" s="22"/>
      <c r="TMT44" s="22"/>
      <c r="TMU44" s="22"/>
      <c r="TMV44" s="22"/>
      <c r="TMW44" s="22"/>
      <c r="TMX44" s="22"/>
      <c r="TMY44" s="22"/>
      <c r="TMZ44" s="22"/>
      <c r="TNA44" s="22"/>
      <c r="TNB44" s="22"/>
      <c r="TNC44" s="22"/>
      <c r="TND44" s="22"/>
      <c r="TNE44" s="22"/>
      <c r="TNF44" s="22"/>
      <c r="TNG44" s="22"/>
      <c r="TNH44" s="22"/>
      <c r="TNI44" s="22"/>
      <c r="TNJ44" s="22"/>
      <c r="TNK44" s="22"/>
      <c r="TNL44" s="22"/>
      <c r="TNM44" s="22"/>
      <c r="TNN44" s="22"/>
      <c r="TNO44" s="22"/>
      <c r="TNP44" s="22"/>
      <c r="TNQ44" s="22"/>
      <c r="TNR44" s="22"/>
      <c r="TNS44" s="22"/>
      <c r="TNT44" s="22"/>
      <c r="TNU44" s="22"/>
      <c r="TNV44" s="22"/>
      <c r="TNW44" s="22"/>
      <c r="TNX44" s="22"/>
      <c r="TNY44" s="22"/>
      <c r="TNZ44" s="22"/>
      <c r="TOA44" s="22"/>
      <c r="TOB44" s="22"/>
      <c r="TOC44" s="22"/>
      <c r="TOD44" s="22"/>
      <c r="TOE44" s="22"/>
      <c r="TOF44" s="22"/>
      <c r="TOG44" s="22"/>
      <c r="TOH44" s="22"/>
      <c r="TOI44" s="22"/>
      <c r="TOJ44" s="22"/>
      <c r="TOK44" s="22"/>
      <c r="TOL44" s="22"/>
      <c r="TOM44" s="22"/>
      <c r="TON44" s="22"/>
      <c r="TOO44" s="22"/>
      <c r="TOP44" s="22"/>
      <c r="TOQ44" s="22"/>
      <c r="TOR44" s="22"/>
      <c r="TOS44" s="22"/>
      <c r="TOT44" s="22"/>
      <c r="TOU44" s="22"/>
      <c r="TOV44" s="22"/>
      <c r="TOW44" s="22"/>
      <c r="TOX44" s="22"/>
      <c r="TOY44" s="22"/>
      <c r="TOZ44" s="22"/>
      <c r="TPA44" s="22"/>
      <c r="TPB44" s="22"/>
      <c r="TPC44" s="22"/>
      <c r="TPD44" s="22"/>
      <c r="TPE44" s="22"/>
      <c r="TPF44" s="22"/>
      <c r="TPG44" s="22"/>
      <c r="TPH44" s="22"/>
      <c r="TPI44" s="22"/>
      <c r="TPJ44" s="22"/>
      <c r="TPK44" s="22"/>
      <c r="TPL44" s="22"/>
      <c r="TPM44" s="22"/>
      <c r="TPN44" s="22"/>
      <c r="TPO44" s="22"/>
      <c r="TPP44" s="22"/>
      <c r="TPQ44" s="22"/>
      <c r="TPR44" s="22"/>
      <c r="TPS44" s="22"/>
      <c r="TPT44" s="22"/>
      <c r="TPU44" s="22"/>
      <c r="TPV44" s="22"/>
      <c r="TPW44" s="22"/>
      <c r="TPX44" s="22"/>
      <c r="TPY44" s="22"/>
      <c r="TPZ44" s="22"/>
      <c r="TQA44" s="22"/>
      <c r="TQB44" s="22"/>
      <c r="TQC44" s="22"/>
      <c r="TQD44" s="22"/>
      <c r="TQE44" s="22"/>
      <c r="TQF44" s="22"/>
      <c r="TQG44" s="22"/>
      <c r="TQH44" s="22"/>
      <c r="TQI44" s="22"/>
      <c r="TQJ44" s="22"/>
      <c r="TQK44" s="22"/>
      <c r="TQL44" s="22"/>
      <c r="TQM44" s="22"/>
      <c r="TQN44" s="22"/>
      <c r="TQO44" s="22"/>
      <c r="TQP44" s="22"/>
      <c r="TQQ44" s="22"/>
      <c r="TQR44" s="22"/>
      <c r="TQS44" s="22"/>
      <c r="TQT44" s="22"/>
      <c r="TQU44" s="22"/>
      <c r="TQV44" s="22"/>
      <c r="TQW44" s="22"/>
      <c r="TQX44" s="22"/>
      <c r="TQY44" s="22"/>
      <c r="TQZ44" s="22"/>
      <c r="TRA44" s="22"/>
      <c r="TRB44" s="22"/>
      <c r="TRC44" s="22"/>
      <c r="TRD44" s="22"/>
      <c r="TRE44" s="22"/>
      <c r="TRF44" s="22"/>
      <c r="TRG44" s="22"/>
      <c r="TRH44" s="22"/>
      <c r="TRI44" s="22"/>
      <c r="TRJ44" s="22"/>
      <c r="TRK44" s="22"/>
      <c r="TRL44" s="22"/>
      <c r="TRM44" s="22"/>
      <c r="TRN44" s="22"/>
      <c r="TRO44" s="22"/>
      <c r="TRP44" s="22"/>
      <c r="TRQ44" s="22"/>
      <c r="TRR44" s="22"/>
      <c r="TRS44" s="22"/>
      <c r="TRT44" s="22"/>
      <c r="TRU44" s="22"/>
      <c r="TRV44" s="22"/>
      <c r="TRW44" s="22"/>
      <c r="TRX44" s="22"/>
      <c r="TRY44" s="22"/>
      <c r="TRZ44" s="22"/>
      <c r="TSA44" s="22"/>
      <c r="TSB44" s="22"/>
      <c r="TSC44" s="22"/>
      <c r="TSD44" s="22"/>
      <c r="TSE44" s="22"/>
      <c r="TSF44" s="22"/>
      <c r="TSG44" s="22"/>
      <c r="TSH44" s="22"/>
      <c r="TSI44" s="22"/>
      <c r="TSJ44" s="22"/>
      <c r="TSK44" s="22"/>
      <c r="TSL44" s="22"/>
      <c r="TSM44" s="22"/>
      <c r="TSN44" s="22"/>
      <c r="TSO44" s="22"/>
      <c r="TSP44" s="22"/>
      <c r="TSQ44" s="22"/>
      <c r="TSR44" s="22"/>
      <c r="TSS44" s="22"/>
      <c r="TST44" s="22"/>
      <c r="TSU44" s="22"/>
      <c r="TSV44" s="22"/>
      <c r="TSW44" s="22"/>
      <c r="TSX44" s="22"/>
      <c r="TSY44" s="22"/>
      <c r="TSZ44" s="22"/>
      <c r="TTA44" s="22"/>
      <c r="TTB44" s="22"/>
      <c r="TTC44" s="22"/>
      <c r="TTD44" s="22"/>
      <c r="TTE44" s="22"/>
      <c r="TTF44" s="22"/>
      <c r="TTG44" s="22"/>
      <c r="TTH44" s="22"/>
      <c r="TTI44" s="22"/>
      <c r="TTJ44" s="22"/>
      <c r="TTK44" s="22"/>
      <c r="TTL44" s="22"/>
      <c r="TTM44" s="22"/>
      <c r="TTN44" s="22"/>
      <c r="TTO44" s="22"/>
      <c r="TTP44" s="22"/>
      <c r="TTQ44" s="22"/>
      <c r="TTR44" s="22"/>
      <c r="TTS44" s="22"/>
      <c r="TTT44" s="22"/>
      <c r="TTU44" s="22"/>
      <c r="TTV44" s="22"/>
      <c r="TTW44" s="22"/>
      <c r="TTX44" s="22"/>
      <c r="TTY44" s="22"/>
      <c r="TTZ44" s="22"/>
      <c r="TUA44" s="22"/>
      <c r="TUB44" s="22"/>
      <c r="TUC44" s="22"/>
      <c r="TUD44" s="22"/>
      <c r="TUE44" s="22"/>
      <c r="TUF44" s="22"/>
      <c r="TUG44" s="22"/>
      <c r="TUH44" s="22"/>
      <c r="TUI44" s="22"/>
      <c r="TUJ44" s="22"/>
      <c r="TUK44" s="22"/>
      <c r="TUL44" s="22"/>
      <c r="TUM44" s="22"/>
      <c r="TUN44" s="22"/>
      <c r="TUO44" s="22"/>
      <c r="TUP44" s="22"/>
      <c r="TUQ44" s="22"/>
      <c r="TUR44" s="22"/>
      <c r="TUS44" s="22"/>
      <c r="TUT44" s="22"/>
      <c r="TUU44" s="22"/>
      <c r="TUV44" s="22"/>
      <c r="TUW44" s="22"/>
      <c r="TUX44" s="22"/>
      <c r="TUY44" s="22"/>
      <c r="TUZ44" s="22"/>
      <c r="TVA44" s="22"/>
      <c r="TVB44" s="22"/>
      <c r="TVC44" s="22"/>
      <c r="TVD44" s="22"/>
      <c r="TVE44" s="22"/>
      <c r="TVF44" s="22"/>
      <c r="TVG44" s="22"/>
      <c r="TVH44" s="22"/>
      <c r="TVI44" s="22"/>
      <c r="TVJ44" s="22"/>
      <c r="TVK44" s="22"/>
      <c r="TVL44" s="22"/>
      <c r="TVM44" s="22"/>
      <c r="TVN44" s="22"/>
      <c r="TVO44" s="22"/>
      <c r="TVP44" s="22"/>
      <c r="TVQ44" s="22"/>
      <c r="TVR44" s="22"/>
      <c r="TVS44" s="22"/>
      <c r="TVT44" s="22"/>
      <c r="TVU44" s="22"/>
      <c r="TVV44" s="22"/>
      <c r="TVW44" s="22"/>
      <c r="TVX44" s="22"/>
      <c r="TVY44" s="22"/>
      <c r="TVZ44" s="22"/>
      <c r="TWA44" s="22"/>
      <c r="TWB44" s="22"/>
      <c r="TWC44" s="22"/>
      <c r="TWD44" s="22"/>
      <c r="TWE44" s="22"/>
      <c r="TWF44" s="22"/>
      <c r="TWG44" s="22"/>
      <c r="TWH44" s="22"/>
      <c r="TWI44" s="22"/>
      <c r="TWJ44" s="22"/>
      <c r="TWK44" s="22"/>
      <c r="TWL44" s="22"/>
      <c r="TWM44" s="22"/>
      <c r="TWN44" s="22"/>
      <c r="TWO44" s="22"/>
      <c r="TWP44" s="22"/>
      <c r="TWQ44" s="22"/>
      <c r="TWR44" s="22"/>
      <c r="TWS44" s="22"/>
      <c r="TWT44" s="22"/>
      <c r="TWU44" s="22"/>
      <c r="TWV44" s="22"/>
      <c r="TWW44" s="22"/>
      <c r="TWX44" s="22"/>
      <c r="TWY44" s="22"/>
      <c r="TWZ44" s="22"/>
      <c r="TXA44" s="22"/>
      <c r="TXB44" s="22"/>
      <c r="TXC44" s="22"/>
      <c r="TXD44" s="22"/>
      <c r="TXE44" s="22"/>
      <c r="TXF44" s="22"/>
      <c r="TXG44" s="22"/>
      <c r="TXH44" s="22"/>
      <c r="TXI44" s="22"/>
      <c r="TXJ44" s="22"/>
      <c r="TXK44" s="22"/>
      <c r="TXL44" s="22"/>
      <c r="TXM44" s="22"/>
      <c r="TXN44" s="22"/>
      <c r="TXO44" s="22"/>
      <c r="TXP44" s="22"/>
      <c r="TXQ44" s="22"/>
      <c r="TXR44" s="22"/>
      <c r="TXS44" s="22"/>
      <c r="TXT44" s="22"/>
      <c r="TXU44" s="22"/>
      <c r="TXV44" s="22"/>
      <c r="TXW44" s="22"/>
      <c r="TXX44" s="22"/>
      <c r="TXY44" s="22"/>
      <c r="TXZ44" s="22"/>
      <c r="TYA44" s="22"/>
      <c r="TYB44" s="22"/>
      <c r="TYC44" s="22"/>
      <c r="TYD44" s="22"/>
      <c r="TYE44" s="22"/>
      <c r="TYF44" s="22"/>
      <c r="TYG44" s="22"/>
      <c r="TYH44" s="22"/>
      <c r="TYI44" s="22"/>
      <c r="TYJ44" s="22"/>
      <c r="TYK44" s="22"/>
      <c r="TYL44" s="22"/>
      <c r="TYM44" s="22"/>
      <c r="TYN44" s="22"/>
      <c r="TYO44" s="22"/>
      <c r="TYP44" s="22"/>
      <c r="TYQ44" s="22"/>
      <c r="TYR44" s="22"/>
      <c r="TYS44" s="22"/>
      <c r="TYT44" s="22"/>
      <c r="TYU44" s="22"/>
      <c r="TYV44" s="22"/>
      <c r="TYW44" s="22"/>
      <c r="TYX44" s="22"/>
      <c r="TYY44" s="22"/>
      <c r="TYZ44" s="22"/>
      <c r="TZA44" s="22"/>
      <c r="TZB44" s="22"/>
      <c r="TZC44" s="22"/>
      <c r="TZD44" s="22"/>
      <c r="TZE44" s="22"/>
      <c r="TZF44" s="22"/>
      <c r="TZG44" s="22"/>
      <c r="TZH44" s="22"/>
      <c r="TZI44" s="22"/>
      <c r="TZJ44" s="22"/>
      <c r="TZK44" s="22"/>
      <c r="TZL44" s="22"/>
      <c r="TZM44" s="22"/>
      <c r="TZN44" s="22"/>
      <c r="TZO44" s="22"/>
      <c r="TZP44" s="22"/>
      <c r="TZQ44" s="22"/>
      <c r="TZR44" s="22"/>
      <c r="TZS44" s="22"/>
      <c r="TZT44" s="22"/>
      <c r="TZU44" s="22"/>
      <c r="TZV44" s="22"/>
      <c r="TZW44" s="22"/>
      <c r="TZX44" s="22"/>
      <c r="TZY44" s="22"/>
      <c r="TZZ44" s="22"/>
      <c r="UAA44" s="22"/>
      <c r="UAB44" s="22"/>
      <c r="UAC44" s="22"/>
      <c r="UAD44" s="22"/>
      <c r="UAE44" s="22"/>
      <c r="UAF44" s="22"/>
      <c r="UAG44" s="22"/>
      <c r="UAH44" s="22"/>
      <c r="UAI44" s="22"/>
      <c r="UAJ44" s="22"/>
      <c r="UAK44" s="22"/>
      <c r="UAL44" s="22"/>
      <c r="UAM44" s="22"/>
      <c r="UAN44" s="22"/>
      <c r="UAO44" s="22"/>
      <c r="UAP44" s="22"/>
      <c r="UAQ44" s="22"/>
      <c r="UAR44" s="22"/>
      <c r="UAS44" s="22"/>
      <c r="UAT44" s="22"/>
      <c r="UAU44" s="22"/>
      <c r="UAV44" s="22"/>
      <c r="UAW44" s="22"/>
      <c r="UAX44" s="22"/>
      <c r="UAY44" s="22"/>
      <c r="UAZ44" s="22"/>
      <c r="UBA44" s="22"/>
      <c r="UBB44" s="22"/>
      <c r="UBC44" s="22"/>
      <c r="UBD44" s="22"/>
      <c r="UBE44" s="22"/>
      <c r="UBF44" s="22"/>
      <c r="UBG44" s="22"/>
      <c r="UBH44" s="22"/>
      <c r="UBI44" s="22"/>
      <c r="UBJ44" s="22"/>
      <c r="UBK44" s="22"/>
      <c r="UBL44" s="22"/>
      <c r="UBM44" s="22"/>
      <c r="UBN44" s="22"/>
      <c r="UBO44" s="22"/>
      <c r="UBP44" s="22"/>
      <c r="UBQ44" s="22"/>
      <c r="UBR44" s="22"/>
      <c r="UBS44" s="22"/>
      <c r="UBT44" s="22"/>
      <c r="UBU44" s="22"/>
      <c r="UBV44" s="22"/>
      <c r="UBW44" s="22"/>
      <c r="UBX44" s="22"/>
      <c r="UBY44" s="22"/>
      <c r="UBZ44" s="22"/>
      <c r="UCA44" s="22"/>
      <c r="UCB44" s="22"/>
      <c r="UCC44" s="22"/>
      <c r="UCD44" s="22"/>
      <c r="UCE44" s="22"/>
      <c r="UCF44" s="22"/>
      <c r="UCG44" s="22"/>
      <c r="UCH44" s="22"/>
      <c r="UCI44" s="22"/>
      <c r="UCJ44" s="22"/>
      <c r="UCK44" s="22"/>
      <c r="UCL44" s="22"/>
      <c r="UCM44" s="22"/>
      <c r="UCN44" s="22"/>
      <c r="UCO44" s="22"/>
      <c r="UCP44" s="22"/>
      <c r="UCQ44" s="22"/>
      <c r="UCR44" s="22"/>
      <c r="UCS44" s="22"/>
      <c r="UCT44" s="22"/>
      <c r="UCU44" s="22"/>
      <c r="UCV44" s="22"/>
      <c r="UCW44" s="22"/>
      <c r="UCX44" s="22"/>
      <c r="UCY44" s="22"/>
      <c r="UCZ44" s="22"/>
      <c r="UDA44" s="22"/>
      <c r="UDB44" s="22"/>
      <c r="UDC44" s="22"/>
      <c r="UDD44" s="22"/>
      <c r="UDE44" s="22"/>
      <c r="UDF44" s="22"/>
      <c r="UDG44" s="22"/>
      <c r="UDH44" s="22"/>
      <c r="UDI44" s="22"/>
      <c r="UDJ44" s="22"/>
      <c r="UDK44" s="22"/>
      <c r="UDL44" s="22"/>
      <c r="UDM44" s="22"/>
      <c r="UDN44" s="22"/>
      <c r="UDO44" s="22"/>
      <c r="UDP44" s="22"/>
      <c r="UDQ44" s="22"/>
      <c r="UDR44" s="22"/>
      <c r="UDS44" s="22"/>
      <c r="UDT44" s="22"/>
      <c r="UDU44" s="22"/>
      <c r="UDV44" s="22"/>
      <c r="UDW44" s="22"/>
      <c r="UDX44" s="22"/>
      <c r="UDY44" s="22"/>
      <c r="UDZ44" s="22"/>
      <c r="UEA44" s="22"/>
      <c r="UEB44" s="22"/>
      <c r="UEC44" s="22"/>
      <c r="UED44" s="22"/>
      <c r="UEE44" s="22"/>
      <c r="UEF44" s="22"/>
      <c r="UEG44" s="22"/>
      <c r="UEH44" s="22"/>
      <c r="UEI44" s="22"/>
      <c r="UEJ44" s="22"/>
      <c r="UEK44" s="22"/>
      <c r="UEL44" s="22"/>
      <c r="UEM44" s="22"/>
      <c r="UEN44" s="22"/>
      <c r="UEO44" s="22"/>
      <c r="UEP44" s="22"/>
      <c r="UEQ44" s="22"/>
      <c r="UER44" s="22"/>
      <c r="UES44" s="22"/>
      <c r="UET44" s="22"/>
      <c r="UEU44" s="22"/>
      <c r="UEV44" s="22"/>
      <c r="UEW44" s="22"/>
      <c r="UEX44" s="22"/>
      <c r="UEY44" s="22"/>
      <c r="UEZ44" s="22"/>
      <c r="UFA44" s="22"/>
      <c r="UFB44" s="22"/>
      <c r="UFC44" s="22"/>
      <c r="UFD44" s="22"/>
      <c r="UFE44" s="22"/>
      <c r="UFF44" s="22"/>
      <c r="UFG44" s="22"/>
      <c r="UFH44" s="22"/>
      <c r="UFI44" s="22"/>
      <c r="UFJ44" s="22"/>
      <c r="UFK44" s="22"/>
      <c r="UFL44" s="22"/>
      <c r="UFM44" s="22"/>
      <c r="UFN44" s="22"/>
      <c r="UFO44" s="22"/>
      <c r="UFP44" s="22"/>
      <c r="UFQ44" s="22"/>
      <c r="UFR44" s="22"/>
      <c r="UFS44" s="22"/>
      <c r="UFT44" s="22"/>
      <c r="UFU44" s="22"/>
      <c r="UFV44" s="22"/>
      <c r="UFW44" s="22"/>
      <c r="UFX44" s="22"/>
      <c r="UFY44" s="22"/>
      <c r="UFZ44" s="22"/>
      <c r="UGA44" s="22"/>
      <c r="UGB44" s="22"/>
      <c r="UGC44" s="22"/>
      <c r="UGD44" s="22"/>
      <c r="UGE44" s="22"/>
      <c r="UGF44" s="22"/>
      <c r="UGG44" s="22"/>
      <c r="UGH44" s="22"/>
      <c r="UGI44" s="22"/>
      <c r="UGJ44" s="22"/>
      <c r="UGK44" s="22"/>
      <c r="UGL44" s="22"/>
      <c r="UGM44" s="22"/>
      <c r="UGN44" s="22"/>
      <c r="UGO44" s="22"/>
      <c r="UGP44" s="22"/>
      <c r="UGQ44" s="22"/>
      <c r="UGR44" s="22"/>
      <c r="UGS44" s="22"/>
      <c r="UGT44" s="22"/>
      <c r="UGU44" s="22"/>
      <c r="UGV44" s="22"/>
      <c r="UGW44" s="22"/>
      <c r="UGX44" s="22"/>
      <c r="UGY44" s="22"/>
      <c r="UGZ44" s="22"/>
      <c r="UHA44" s="22"/>
      <c r="UHB44" s="22"/>
      <c r="UHC44" s="22"/>
      <c r="UHD44" s="22"/>
      <c r="UHE44" s="22"/>
      <c r="UHF44" s="22"/>
      <c r="UHG44" s="22"/>
      <c r="UHH44" s="22"/>
      <c r="UHI44" s="22"/>
      <c r="UHJ44" s="22"/>
      <c r="UHK44" s="22"/>
      <c r="UHL44" s="22"/>
      <c r="UHM44" s="22"/>
      <c r="UHN44" s="22"/>
      <c r="UHO44" s="22"/>
      <c r="UHP44" s="22"/>
      <c r="UHQ44" s="22"/>
      <c r="UHR44" s="22"/>
      <c r="UHS44" s="22"/>
      <c r="UHT44" s="22"/>
      <c r="UHU44" s="22"/>
      <c r="UHV44" s="22"/>
      <c r="UHW44" s="22"/>
      <c r="UHX44" s="22"/>
      <c r="UHY44" s="22"/>
      <c r="UHZ44" s="22"/>
      <c r="UIA44" s="22"/>
      <c r="UIB44" s="22"/>
      <c r="UIC44" s="22"/>
      <c r="UID44" s="22"/>
      <c r="UIE44" s="22"/>
      <c r="UIF44" s="22"/>
      <c r="UIG44" s="22"/>
      <c r="UIH44" s="22"/>
      <c r="UII44" s="22"/>
      <c r="UIJ44" s="22"/>
      <c r="UIK44" s="22"/>
      <c r="UIL44" s="22"/>
      <c r="UIM44" s="22"/>
      <c r="UIN44" s="22"/>
      <c r="UIO44" s="22"/>
      <c r="UIP44" s="22"/>
      <c r="UIQ44" s="22"/>
      <c r="UIR44" s="22"/>
      <c r="UIS44" s="22"/>
      <c r="UIT44" s="22"/>
      <c r="UIU44" s="22"/>
      <c r="UIV44" s="22"/>
      <c r="UIW44" s="22"/>
      <c r="UIX44" s="22"/>
      <c r="UIY44" s="22"/>
      <c r="UIZ44" s="22"/>
      <c r="UJA44" s="22"/>
      <c r="UJB44" s="22"/>
      <c r="UJC44" s="22"/>
      <c r="UJD44" s="22"/>
      <c r="UJE44" s="22"/>
      <c r="UJF44" s="22"/>
      <c r="UJG44" s="22"/>
      <c r="UJH44" s="22"/>
      <c r="UJI44" s="22"/>
      <c r="UJJ44" s="22"/>
      <c r="UJK44" s="22"/>
      <c r="UJL44" s="22"/>
      <c r="UJM44" s="22"/>
      <c r="UJN44" s="22"/>
      <c r="UJO44" s="22"/>
      <c r="UJP44" s="22"/>
      <c r="UJQ44" s="22"/>
      <c r="UJR44" s="22"/>
      <c r="UJS44" s="22"/>
      <c r="UJT44" s="22"/>
      <c r="UJU44" s="22"/>
      <c r="UJV44" s="22"/>
      <c r="UJW44" s="22"/>
      <c r="UJX44" s="22"/>
      <c r="UJY44" s="22"/>
      <c r="UJZ44" s="22"/>
      <c r="UKA44" s="22"/>
      <c r="UKB44" s="22"/>
      <c r="UKC44" s="22"/>
      <c r="UKD44" s="22"/>
      <c r="UKE44" s="22"/>
      <c r="UKF44" s="22"/>
      <c r="UKG44" s="22"/>
      <c r="UKH44" s="22"/>
      <c r="UKI44" s="22"/>
      <c r="UKJ44" s="22"/>
      <c r="UKK44" s="22"/>
      <c r="UKL44" s="22"/>
      <c r="UKM44" s="22"/>
      <c r="UKN44" s="22"/>
      <c r="UKO44" s="22"/>
      <c r="UKP44" s="22"/>
      <c r="UKQ44" s="22"/>
      <c r="UKR44" s="22"/>
      <c r="UKS44" s="22"/>
      <c r="UKT44" s="22"/>
      <c r="UKU44" s="22"/>
      <c r="UKV44" s="22"/>
      <c r="UKW44" s="22"/>
      <c r="UKX44" s="22"/>
      <c r="UKY44" s="22"/>
      <c r="UKZ44" s="22"/>
      <c r="ULA44" s="22"/>
      <c r="ULB44" s="22"/>
      <c r="ULC44" s="22"/>
      <c r="ULD44" s="22"/>
      <c r="ULE44" s="22"/>
      <c r="ULF44" s="22"/>
      <c r="ULG44" s="22"/>
      <c r="ULH44" s="22"/>
      <c r="ULI44" s="22"/>
      <c r="ULJ44" s="22"/>
      <c r="ULK44" s="22"/>
      <c r="ULL44" s="22"/>
      <c r="ULM44" s="22"/>
      <c r="ULN44" s="22"/>
      <c r="ULO44" s="22"/>
      <c r="ULP44" s="22"/>
      <c r="ULQ44" s="22"/>
      <c r="ULR44" s="22"/>
      <c r="ULS44" s="22"/>
      <c r="ULT44" s="22"/>
      <c r="ULU44" s="22"/>
      <c r="ULV44" s="22"/>
      <c r="ULW44" s="22"/>
      <c r="ULX44" s="22"/>
      <c r="ULY44" s="22"/>
      <c r="ULZ44" s="22"/>
      <c r="UMA44" s="22"/>
      <c r="UMB44" s="22"/>
      <c r="UMC44" s="22"/>
      <c r="UMD44" s="22"/>
      <c r="UME44" s="22"/>
      <c r="UMF44" s="22"/>
      <c r="UMG44" s="22"/>
      <c r="UMH44" s="22"/>
      <c r="UMI44" s="22"/>
      <c r="UMJ44" s="22"/>
      <c r="UMK44" s="22"/>
      <c r="UML44" s="22"/>
      <c r="UMM44" s="22"/>
      <c r="UMN44" s="22"/>
      <c r="UMO44" s="22"/>
      <c r="UMP44" s="22"/>
      <c r="UMQ44" s="22"/>
      <c r="UMR44" s="22"/>
      <c r="UMS44" s="22"/>
      <c r="UMT44" s="22"/>
      <c r="UMU44" s="22"/>
      <c r="UMV44" s="22"/>
      <c r="UMW44" s="22"/>
      <c r="UMX44" s="22"/>
      <c r="UMY44" s="22"/>
      <c r="UMZ44" s="22"/>
      <c r="UNA44" s="22"/>
      <c r="UNB44" s="22"/>
      <c r="UNC44" s="22"/>
      <c r="UND44" s="22"/>
      <c r="UNE44" s="22"/>
      <c r="UNF44" s="22"/>
      <c r="UNG44" s="22"/>
      <c r="UNH44" s="22"/>
      <c r="UNI44" s="22"/>
      <c r="UNJ44" s="22"/>
      <c r="UNK44" s="22"/>
      <c r="UNL44" s="22"/>
      <c r="UNM44" s="22"/>
      <c r="UNN44" s="22"/>
      <c r="UNO44" s="22"/>
      <c r="UNP44" s="22"/>
      <c r="UNQ44" s="22"/>
      <c r="UNR44" s="22"/>
      <c r="UNS44" s="22"/>
      <c r="UNT44" s="22"/>
      <c r="UNU44" s="22"/>
      <c r="UNV44" s="22"/>
      <c r="UNW44" s="22"/>
      <c r="UNX44" s="22"/>
      <c r="UNY44" s="22"/>
      <c r="UNZ44" s="22"/>
      <c r="UOA44" s="22"/>
      <c r="UOB44" s="22"/>
      <c r="UOC44" s="22"/>
      <c r="UOD44" s="22"/>
      <c r="UOE44" s="22"/>
      <c r="UOF44" s="22"/>
      <c r="UOG44" s="22"/>
      <c r="UOH44" s="22"/>
      <c r="UOI44" s="22"/>
      <c r="UOJ44" s="22"/>
      <c r="UOK44" s="22"/>
      <c r="UOL44" s="22"/>
      <c r="UOM44" s="22"/>
      <c r="UON44" s="22"/>
      <c r="UOO44" s="22"/>
      <c r="UOP44" s="22"/>
      <c r="UOQ44" s="22"/>
      <c r="UOR44" s="22"/>
      <c r="UOS44" s="22"/>
      <c r="UOT44" s="22"/>
      <c r="UOU44" s="22"/>
      <c r="UOV44" s="22"/>
      <c r="UOW44" s="22"/>
      <c r="UOX44" s="22"/>
      <c r="UOY44" s="22"/>
      <c r="UOZ44" s="22"/>
      <c r="UPA44" s="22"/>
      <c r="UPB44" s="22"/>
      <c r="UPC44" s="22"/>
      <c r="UPD44" s="22"/>
      <c r="UPE44" s="22"/>
      <c r="UPF44" s="22"/>
      <c r="UPG44" s="22"/>
      <c r="UPH44" s="22"/>
      <c r="UPI44" s="22"/>
      <c r="UPJ44" s="22"/>
      <c r="UPK44" s="22"/>
      <c r="UPL44" s="22"/>
      <c r="UPM44" s="22"/>
      <c r="UPN44" s="22"/>
      <c r="UPO44" s="22"/>
      <c r="UPP44" s="22"/>
      <c r="UPQ44" s="22"/>
      <c r="UPR44" s="22"/>
      <c r="UPS44" s="22"/>
      <c r="UPT44" s="22"/>
      <c r="UPU44" s="22"/>
      <c r="UPV44" s="22"/>
      <c r="UPW44" s="22"/>
      <c r="UPX44" s="22"/>
      <c r="UPY44" s="22"/>
      <c r="UPZ44" s="22"/>
      <c r="UQA44" s="22"/>
      <c r="UQB44" s="22"/>
      <c r="UQC44" s="22"/>
      <c r="UQD44" s="22"/>
      <c r="UQE44" s="22"/>
      <c r="UQF44" s="22"/>
      <c r="UQG44" s="22"/>
      <c r="UQH44" s="22"/>
      <c r="UQI44" s="22"/>
      <c r="UQJ44" s="22"/>
      <c r="UQK44" s="22"/>
      <c r="UQL44" s="22"/>
      <c r="UQM44" s="22"/>
      <c r="UQN44" s="22"/>
      <c r="UQO44" s="22"/>
      <c r="UQP44" s="22"/>
      <c r="UQQ44" s="22"/>
      <c r="UQR44" s="22"/>
      <c r="UQS44" s="22"/>
      <c r="UQT44" s="22"/>
      <c r="UQU44" s="22"/>
      <c r="UQV44" s="22"/>
      <c r="UQW44" s="22"/>
      <c r="UQX44" s="22"/>
      <c r="UQY44" s="22"/>
      <c r="UQZ44" s="22"/>
      <c r="URA44" s="22"/>
      <c r="URB44" s="22"/>
      <c r="URC44" s="22"/>
      <c r="URD44" s="22"/>
      <c r="URE44" s="22"/>
      <c r="URF44" s="22"/>
      <c r="URG44" s="22"/>
      <c r="URH44" s="22"/>
      <c r="URI44" s="22"/>
      <c r="URJ44" s="22"/>
      <c r="URK44" s="22"/>
      <c r="URL44" s="22"/>
      <c r="URM44" s="22"/>
      <c r="URN44" s="22"/>
      <c r="URO44" s="22"/>
      <c r="URP44" s="22"/>
      <c r="URQ44" s="22"/>
      <c r="URR44" s="22"/>
      <c r="URS44" s="22"/>
      <c r="URT44" s="22"/>
      <c r="URU44" s="22"/>
      <c r="URV44" s="22"/>
      <c r="URW44" s="22"/>
      <c r="URX44" s="22"/>
      <c r="URY44" s="22"/>
      <c r="URZ44" s="22"/>
      <c r="USA44" s="22"/>
      <c r="USB44" s="22"/>
      <c r="USC44" s="22"/>
      <c r="USD44" s="22"/>
      <c r="USE44" s="22"/>
      <c r="USF44" s="22"/>
      <c r="USG44" s="22"/>
      <c r="USH44" s="22"/>
      <c r="USI44" s="22"/>
      <c r="USJ44" s="22"/>
      <c r="USK44" s="22"/>
      <c r="USL44" s="22"/>
      <c r="USM44" s="22"/>
      <c r="USN44" s="22"/>
      <c r="USO44" s="22"/>
      <c r="USP44" s="22"/>
      <c r="USQ44" s="22"/>
      <c r="USR44" s="22"/>
      <c r="USS44" s="22"/>
      <c r="UST44" s="22"/>
      <c r="USU44" s="22"/>
      <c r="USV44" s="22"/>
      <c r="USW44" s="22"/>
      <c r="USX44" s="22"/>
      <c r="USY44" s="22"/>
      <c r="USZ44" s="22"/>
      <c r="UTA44" s="22"/>
      <c r="UTB44" s="22"/>
      <c r="UTC44" s="22"/>
      <c r="UTD44" s="22"/>
      <c r="UTE44" s="22"/>
      <c r="UTF44" s="22"/>
      <c r="UTG44" s="22"/>
      <c r="UTH44" s="22"/>
      <c r="UTI44" s="22"/>
      <c r="UTJ44" s="22"/>
      <c r="UTK44" s="22"/>
      <c r="UTL44" s="22"/>
      <c r="UTM44" s="22"/>
      <c r="UTN44" s="22"/>
      <c r="UTO44" s="22"/>
      <c r="UTP44" s="22"/>
      <c r="UTQ44" s="22"/>
      <c r="UTR44" s="22"/>
      <c r="UTS44" s="22"/>
      <c r="UTT44" s="22"/>
      <c r="UTU44" s="22"/>
      <c r="UTV44" s="22"/>
      <c r="UTW44" s="22"/>
      <c r="UTX44" s="22"/>
      <c r="UTY44" s="22"/>
      <c r="UTZ44" s="22"/>
      <c r="UUA44" s="22"/>
      <c r="UUB44" s="22"/>
      <c r="UUC44" s="22"/>
      <c r="UUD44" s="22"/>
      <c r="UUE44" s="22"/>
      <c r="UUF44" s="22"/>
      <c r="UUG44" s="22"/>
      <c r="UUH44" s="22"/>
      <c r="UUI44" s="22"/>
      <c r="UUJ44" s="22"/>
      <c r="UUK44" s="22"/>
      <c r="UUL44" s="22"/>
      <c r="UUM44" s="22"/>
      <c r="UUN44" s="22"/>
      <c r="UUO44" s="22"/>
      <c r="UUP44" s="22"/>
      <c r="UUQ44" s="22"/>
      <c r="UUR44" s="22"/>
      <c r="UUS44" s="22"/>
      <c r="UUT44" s="22"/>
      <c r="UUU44" s="22"/>
      <c r="UUV44" s="22"/>
      <c r="UUW44" s="22"/>
      <c r="UUX44" s="22"/>
      <c r="UUY44" s="22"/>
      <c r="UUZ44" s="22"/>
      <c r="UVA44" s="22"/>
      <c r="UVB44" s="22"/>
      <c r="UVC44" s="22"/>
      <c r="UVD44" s="22"/>
      <c r="UVE44" s="22"/>
      <c r="UVF44" s="22"/>
      <c r="UVG44" s="22"/>
      <c r="UVH44" s="22"/>
      <c r="UVI44" s="22"/>
      <c r="UVJ44" s="22"/>
      <c r="UVK44" s="22"/>
      <c r="UVL44" s="22"/>
      <c r="UVM44" s="22"/>
      <c r="UVN44" s="22"/>
      <c r="UVO44" s="22"/>
      <c r="UVP44" s="22"/>
      <c r="UVQ44" s="22"/>
      <c r="UVR44" s="22"/>
      <c r="UVS44" s="22"/>
      <c r="UVT44" s="22"/>
      <c r="UVU44" s="22"/>
      <c r="UVV44" s="22"/>
      <c r="UVW44" s="22"/>
      <c r="UVX44" s="22"/>
      <c r="UVY44" s="22"/>
      <c r="UVZ44" s="22"/>
      <c r="UWA44" s="22"/>
      <c r="UWB44" s="22"/>
      <c r="UWC44" s="22"/>
      <c r="UWD44" s="22"/>
      <c r="UWE44" s="22"/>
      <c r="UWF44" s="22"/>
      <c r="UWG44" s="22"/>
      <c r="UWH44" s="22"/>
      <c r="UWI44" s="22"/>
      <c r="UWJ44" s="22"/>
      <c r="UWK44" s="22"/>
      <c r="UWL44" s="22"/>
      <c r="UWM44" s="22"/>
      <c r="UWN44" s="22"/>
      <c r="UWO44" s="22"/>
      <c r="UWP44" s="22"/>
      <c r="UWQ44" s="22"/>
      <c r="UWR44" s="22"/>
      <c r="UWS44" s="22"/>
      <c r="UWT44" s="22"/>
      <c r="UWU44" s="22"/>
      <c r="UWV44" s="22"/>
      <c r="UWW44" s="22"/>
      <c r="UWX44" s="22"/>
      <c r="UWY44" s="22"/>
      <c r="UWZ44" s="22"/>
      <c r="UXA44" s="22"/>
      <c r="UXB44" s="22"/>
      <c r="UXC44" s="22"/>
      <c r="UXD44" s="22"/>
      <c r="UXE44" s="22"/>
      <c r="UXF44" s="22"/>
      <c r="UXG44" s="22"/>
      <c r="UXH44" s="22"/>
      <c r="UXI44" s="22"/>
      <c r="UXJ44" s="22"/>
      <c r="UXK44" s="22"/>
      <c r="UXL44" s="22"/>
      <c r="UXM44" s="22"/>
      <c r="UXN44" s="22"/>
      <c r="UXO44" s="22"/>
      <c r="UXP44" s="22"/>
      <c r="UXQ44" s="22"/>
      <c r="UXR44" s="22"/>
      <c r="UXS44" s="22"/>
      <c r="UXT44" s="22"/>
      <c r="UXU44" s="22"/>
      <c r="UXV44" s="22"/>
      <c r="UXW44" s="22"/>
      <c r="UXX44" s="22"/>
      <c r="UXY44" s="22"/>
      <c r="UXZ44" s="22"/>
      <c r="UYA44" s="22"/>
      <c r="UYB44" s="22"/>
      <c r="UYC44" s="22"/>
      <c r="UYD44" s="22"/>
      <c r="UYE44" s="22"/>
      <c r="UYF44" s="22"/>
      <c r="UYG44" s="22"/>
      <c r="UYH44" s="22"/>
      <c r="UYI44" s="22"/>
      <c r="UYJ44" s="22"/>
      <c r="UYK44" s="22"/>
      <c r="UYL44" s="22"/>
      <c r="UYM44" s="22"/>
      <c r="UYN44" s="22"/>
      <c r="UYO44" s="22"/>
      <c r="UYP44" s="22"/>
      <c r="UYQ44" s="22"/>
      <c r="UYR44" s="22"/>
      <c r="UYS44" s="22"/>
      <c r="UYT44" s="22"/>
      <c r="UYU44" s="22"/>
      <c r="UYV44" s="22"/>
      <c r="UYW44" s="22"/>
      <c r="UYX44" s="22"/>
      <c r="UYY44" s="22"/>
      <c r="UYZ44" s="22"/>
      <c r="UZA44" s="22"/>
      <c r="UZB44" s="22"/>
      <c r="UZC44" s="22"/>
      <c r="UZD44" s="22"/>
      <c r="UZE44" s="22"/>
      <c r="UZF44" s="22"/>
      <c r="UZG44" s="22"/>
      <c r="UZH44" s="22"/>
      <c r="UZI44" s="22"/>
      <c r="UZJ44" s="22"/>
      <c r="UZK44" s="22"/>
      <c r="UZL44" s="22"/>
      <c r="UZM44" s="22"/>
      <c r="UZN44" s="22"/>
      <c r="UZO44" s="22"/>
      <c r="UZP44" s="22"/>
      <c r="UZQ44" s="22"/>
      <c r="UZR44" s="22"/>
      <c r="UZS44" s="22"/>
      <c r="UZT44" s="22"/>
      <c r="UZU44" s="22"/>
      <c r="UZV44" s="22"/>
      <c r="UZW44" s="22"/>
      <c r="UZX44" s="22"/>
      <c r="UZY44" s="22"/>
      <c r="UZZ44" s="22"/>
      <c r="VAA44" s="22"/>
      <c r="VAB44" s="22"/>
      <c r="VAC44" s="22"/>
      <c r="VAD44" s="22"/>
      <c r="VAE44" s="22"/>
      <c r="VAF44" s="22"/>
      <c r="VAG44" s="22"/>
      <c r="VAH44" s="22"/>
      <c r="VAI44" s="22"/>
      <c r="VAJ44" s="22"/>
      <c r="VAK44" s="22"/>
      <c r="VAL44" s="22"/>
      <c r="VAM44" s="22"/>
      <c r="VAN44" s="22"/>
      <c r="VAO44" s="22"/>
      <c r="VAP44" s="22"/>
      <c r="VAQ44" s="22"/>
      <c r="VAR44" s="22"/>
      <c r="VAS44" s="22"/>
      <c r="VAT44" s="22"/>
      <c r="VAU44" s="22"/>
      <c r="VAV44" s="22"/>
      <c r="VAW44" s="22"/>
      <c r="VAX44" s="22"/>
      <c r="VAY44" s="22"/>
      <c r="VAZ44" s="22"/>
      <c r="VBA44" s="22"/>
      <c r="VBB44" s="22"/>
      <c r="VBC44" s="22"/>
      <c r="VBD44" s="22"/>
      <c r="VBE44" s="22"/>
      <c r="VBF44" s="22"/>
      <c r="VBG44" s="22"/>
      <c r="VBH44" s="22"/>
      <c r="VBI44" s="22"/>
      <c r="VBJ44" s="22"/>
      <c r="VBK44" s="22"/>
      <c r="VBL44" s="22"/>
      <c r="VBM44" s="22"/>
      <c r="VBN44" s="22"/>
      <c r="VBO44" s="22"/>
      <c r="VBP44" s="22"/>
      <c r="VBQ44" s="22"/>
      <c r="VBR44" s="22"/>
      <c r="VBS44" s="22"/>
      <c r="VBT44" s="22"/>
      <c r="VBU44" s="22"/>
      <c r="VBV44" s="22"/>
      <c r="VBW44" s="22"/>
      <c r="VBX44" s="22"/>
      <c r="VBY44" s="22"/>
      <c r="VBZ44" s="22"/>
      <c r="VCA44" s="22"/>
      <c r="VCB44" s="22"/>
      <c r="VCC44" s="22"/>
      <c r="VCD44" s="22"/>
      <c r="VCE44" s="22"/>
      <c r="VCF44" s="22"/>
      <c r="VCG44" s="22"/>
      <c r="VCH44" s="22"/>
      <c r="VCI44" s="22"/>
      <c r="VCJ44" s="22"/>
      <c r="VCK44" s="22"/>
      <c r="VCL44" s="22"/>
      <c r="VCM44" s="22"/>
      <c r="VCN44" s="22"/>
      <c r="VCO44" s="22"/>
      <c r="VCP44" s="22"/>
      <c r="VCQ44" s="22"/>
      <c r="VCR44" s="22"/>
      <c r="VCS44" s="22"/>
      <c r="VCT44" s="22"/>
      <c r="VCU44" s="22"/>
      <c r="VCV44" s="22"/>
      <c r="VCW44" s="22"/>
      <c r="VCX44" s="22"/>
      <c r="VCY44" s="22"/>
      <c r="VCZ44" s="22"/>
      <c r="VDA44" s="22"/>
      <c r="VDB44" s="22"/>
      <c r="VDC44" s="22"/>
      <c r="VDD44" s="22"/>
      <c r="VDE44" s="22"/>
      <c r="VDF44" s="22"/>
      <c r="VDG44" s="22"/>
      <c r="VDH44" s="22"/>
      <c r="VDI44" s="22"/>
      <c r="VDJ44" s="22"/>
      <c r="VDK44" s="22"/>
      <c r="VDL44" s="22"/>
      <c r="VDM44" s="22"/>
      <c r="VDN44" s="22"/>
      <c r="VDO44" s="22"/>
      <c r="VDP44" s="22"/>
      <c r="VDQ44" s="22"/>
      <c r="VDR44" s="22"/>
      <c r="VDS44" s="22"/>
      <c r="VDT44" s="22"/>
      <c r="VDU44" s="22"/>
      <c r="VDV44" s="22"/>
      <c r="VDW44" s="22"/>
      <c r="VDX44" s="22"/>
      <c r="VDY44" s="22"/>
      <c r="VDZ44" s="22"/>
      <c r="VEA44" s="22"/>
      <c r="VEB44" s="22"/>
      <c r="VEC44" s="22"/>
      <c r="VED44" s="22"/>
      <c r="VEE44" s="22"/>
      <c r="VEF44" s="22"/>
      <c r="VEG44" s="22"/>
      <c r="VEH44" s="22"/>
      <c r="VEI44" s="22"/>
      <c r="VEJ44" s="22"/>
      <c r="VEK44" s="22"/>
      <c r="VEL44" s="22"/>
      <c r="VEM44" s="22"/>
      <c r="VEN44" s="22"/>
      <c r="VEO44" s="22"/>
      <c r="VEP44" s="22"/>
      <c r="VEQ44" s="22"/>
      <c r="VER44" s="22"/>
      <c r="VES44" s="22"/>
      <c r="VET44" s="22"/>
      <c r="VEU44" s="22"/>
      <c r="VEV44" s="22"/>
      <c r="VEW44" s="22"/>
      <c r="VEX44" s="22"/>
      <c r="VEY44" s="22"/>
      <c r="VEZ44" s="22"/>
      <c r="VFA44" s="22"/>
      <c r="VFB44" s="22"/>
      <c r="VFC44" s="22"/>
      <c r="VFD44" s="22"/>
      <c r="VFE44" s="22"/>
      <c r="VFF44" s="22"/>
      <c r="VFG44" s="22"/>
      <c r="VFH44" s="22"/>
      <c r="VFI44" s="22"/>
      <c r="VFJ44" s="22"/>
      <c r="VFK44" s="22"/>
      <c r="VFL44" s="22"/>
      <c r="VFM44" s="22"/>
      <c r="VFN44" s="22"/>
      <c r="VFO44" s="22"/>
      <c r="VFP44" s="22"/>
      <c r="VFQ44" s="22"/>
      <c r="VFR44" s="22"/>
      <c r="VFS44" s="22"/>
      <c r="VFT44" s="22"/>
      <c r="VFU44" s="22"/>
      <c r="VFV44" s="22"/>
      <c r="VFW44" s="22"/>
      <c r="VFX44" s="22"/>
      <c r="VFY44" s="22"/>
      <c r="VFZ44" s="22"/>
      <c r="VGA44" s="22"/>
      <c r="VGB44" s="22"/>
      <c r="VGC44" s="22"/>
      <c r="VGD44" s="22"/>
      <c r="VGE44" s="22"/>
      <c r="VGF44" s="22"/>
      <c r="VGG44" s="22"/>
      <c r="VGH44" s="22"/>
      <c r="VGI44" s="22"/>
      <c r="VGJ44" s="22"/>
      <c r="VGK44" s="22"/>
      <c r="VGL44" s="22"/>
      <c r="VGM44" s="22"/>
      <c r="VGN44" s="22"/>
      <c r="VGO44" s="22"/>
      <c r="VGP44" s="22"/>
      <c r="VGQ44" s="22"/>
      <c r="VGR44" s="22"/>
      <c r="VGS44" s="22"/>
      <c r="VGT44" s="22"/>
      <c r="VGU44" s="22"/>
      <c r="VGV44" s="22"/>
      <c r="VGW44" s="22"/>
      <c r="VGX44" s="22"/>
      <c r="VGY44" s="22"/>
      <c r="VGZ44" s="22"/>
      <c r="VHA44" s="22"/>
      <c r="VHB44" s="22"/>
      <c r="VHC44" s="22"/>
      <c r="VHD44" s="22"/>
      <c r="VHE44" s="22"/>
      <c r="VHF44" s="22"/>
      <c r="VHG44" s="22"/>
      <c r="VHH44" s="22"/>
      <c r="VHI44" s="22"/>
      <c r="VHJ44" s="22"/>
      <c r="VHK44" s="22"/>
      <c r="VHL44" s="22"/>
      <c r="VHM44" s="22"/>
      <c r="VHN44" s="22"/>
      <c r="VHO44" s="22"/>
      <c r="VHP44" s="22"/>
      <c r="VHQ44" s="22"/>
      <c r="VHR44" s="22"/>
      <c r="VHS44" s="22"/>
      <c r="VHT44" s="22"/>
      <c r="VHU44" s="22"/>
      <c r="VHV44" s="22"/>
      <c r="VHW44" s="22"/>
      <c r="VHX44" s="22"/>
      <c r="VHY44" s="22"/>
      <c r="VHZ44" s="22"/>
      <c r="VIA44" s="22"/>
      <c r="VIB44" s="22"/>
      <c r="VIC44" s="22"/>
      <c r="VID44" s="22"/>
      <c r="VIE44" s="22"/>
      <c r="VIF44" s="22"/>
      <c r="VIG44" s="22"/>
      <c r="VIH44" s="22"/>
      <c r="VII44" s="22"/>
      <c r="VIJ44" s="22"/>
      <c r="VIK44" s="22"/>
      <c r="VIL44" s="22"/>
      <c r="VIM44" s="22"/>
      <c r="VIN44" s="22"/>
      <c r="VIO44" s="22"/>
      <c r="VIP44" s="22"/>
      <c r="VIQ44" s="22"/>
      <c r="VIR44" s="22"/>
      <c r="VIS44" s="22"/>
      <c r="VIT44" s="22"/>
      <c r="VIU44" s="22"/>
      <c r="VIV44" s="22"/>
      <c r="VIW44" s="22"/>
      <c r="VIX44" s="22"/>
      <c r="VIY44" s="22"/>
      <c r="VIZ44" s="22"/>
      <c r="VJA44" s="22"/>
      <c r="VJB44" s="22"/>
      <c r="VJC44" s="22"/>
      <c r="VJD44" s="22"/>
      <c r="VJE44" s="22"/>
      <c r="VJF44" s="22"/>
      <c r="VJG44" s="22"/>
      <c r="VJH44" s="22"/>
      <c r="VJI44" s="22"/>
      <c r="VJJ44" s="22"/>
      <c r="VJK44" s="22"/>
      <c r="VJL44" s="22"/>
      <c r="VJM44" s="22"/>
      <c r="VJN44" s="22"/>
      <c r="VJO44" s="22"/>
      <c r="VJP44" s="22"/>
      <c r="VJQ44" s="22"/>
      <c r="VJR44" s="22"/>
      <c r="VJS44" s="22"/>
      <c r="VJT44" s="22"/>
      <c r="VJU44" s="22"/>
      <c r="VJV44" s="22"/>
      <c r="VJW44" s="22"/>
      <c r="VJX44" s="22"/>
      <c r="VJY44" s="22"/>
      <c r="VJZ44" s="22"/>
      <c r="VKA44" s="22"/>
      <c r="VKB44" s="22"/>
      <c r="VKC44" s="22"/>
      <c r="VKD44" s="22"/>
      <c r="VKE44" s="22"/>
      <c r="VKF44" s="22"/>
      <c r="VKG44" s="22"/>
      <c r="VKH44" s="22"/>
      <c r="VKI44" s="22"/>
      <c r="VKJ44" s="22"/>
      <c r="VKK44" s="22"/>
      <c r="VKL44" s="22"/>
      <c r="VKM44" s="22"/>
      <c r="VKN44" s="22"/>
      <c r="VKO44" s="22"/>
      <c r="VKP44" s="22"/>
      <c r="VKQ44" s="22"/>
      <c r="VKR44" s="22"/>
      <c r="VKS44" s="22"/>
      <c r="VKT44" s="22"/>
      <c r="VKU44" s="22"/>
      <c r="VKV44" s="22"/>
      <c r="VKW44" s="22"/>
      <c r="VKX44" s="22"/>
      <c r="VKY44" s="22"/>
      <c r="VKZ44" s="22"/>
      <c r="VLA44" s="22"/>
      <c r="VLB44" s="22"/>
      <c r="VLC44" s="22"/>
      <c r="VLD44" s="22"/>
      <c r="VLE44" s="22"/>
      <c r="VLF44" s="22"/>
      <c r="VLG44" s="22"/>
      <c r="VLH44" s="22"/>
      <c r="VLI44" s="22"/>
      <c r="VLJ44" s="22"/>
      <c r="VLK44" s="22"/>
      <c r="VLL44" s="22"/>
      <c r="VLM44" s="22"/>
      <c r="VLN44" s="22"/>
      <c r="VLO44" s="22"/>
      <c r="VLP44" s="22"/>
      <c r="VLQ44" s="22"/>
      <c r="VLR44" s="22"/>
      <c r="VLS44" s="22"/>
      <c r="VLT44" s="22"/>
      <c r="VLU44" s="22"/>
      <c r="VLV44" s="22"/>
      <c r="VLW44" s="22"/>
      <c r="VLX44" s="22"/>
      <c r="VLY44" s="22"/>
      <c r="VLZ44" s="22"/>
      <c r="VMA44" s="22"/>
      <c r="VMB44" s="22"/>
      <c r="VMC44" s="22"/>
      <c r="VMD44" s="22"/>
      <c r="VME44" s="22"/>
      <c r="VMF44" s="22"/>
      <c r="VMG44" s="22"/>
      <c r="VMH44" s="22"/>
      <c r="VMI44" s="22"/>
      <c r="VMJ44" s="22"/>
      <c r="VMK44" s="22"/>
      <c r="VML44" s="22"/>
      <c r="VMM44" s="22"/>
      <c r="VMN44" s="22"/>
      <c r="VMO44" s="22"/>
      <c r="VMP44" s="22"/>
      <c r="VMQ44" s="22"/>
      <c r="VMR44" s="22"/>
      <c r="VMS44" s="22"/>
      <c r="VMT44" s="22"/>
      <c r="VMU44" s="22"/>
      <c r="VMV44" s="22"/>
      <c r="VMW44" s="22"/>
      <c r="VMX44" s="22"/>
      <c r="VMY44" s="22"/>
      <c r="VMZ44" s="22"/>
      <c r="VNA44" s="22"/>
      <c r="VNB44" s="22"/>
      <c r="VNC44" s="22"/>
      <c r="VND44" s="22"/>
      <c r="VNE44" s="22"/>
      <c r="VNF44" s="22"/>
      <c r="VNG44" s="22"/>
      <c r="VNH44" s="22"/>
      <c r="VNI44" s="22"/>
      <c r="VNJ44" s="22"/>
      <c r="VNK44" s="22"/>
      <c r="VNL44" s="22"/>
      <c r="VNM44" s="22"/>
      <c r="VNN44" s="22"/>
      <c r="VNO44" s="22"/>
      <c r="VNP44" s="22"/>
      <c r="VNQ44" s="22"/>
      <c r="VNR44" s="22"/>
      <c r="VNS44" s="22"/>
      <c r="VNT44" s="22"/>
      <c r="VNU44" s="22"/>
      <c r="VNV44" s="22"/>
      <c r="VNW44" s="22"/>
      <c r="VNX44" s="22"/>
      <c r="VNY44" s="22"/>
      <c r="VNZ44" s="22"/>
      <c r="VOA44" s="22"/>
      <c r="VOB44" s="22"/>
      <c r="VOC44" s="22"/>
      <c r="VOD44" s="22"/>
      <c r="VOE44" s="22"/>
      <c r="VOF44" s="22"/>
      <c r="VOG44" s="22"/>
      <c r="VOH44" s="22"/>
      <c r="VOI44" s="22"/>
      <c r="VOJ44" s="22"/>
      <c r="VOK44" s="22"/>
      <c r="VOL44" s="22"/>
      <c r="VOM44" s="22"/>
      <c r="VON44" s="22"/>
      <c r="VOO44" s="22"/>
      <c r="VOP44" s="22"/>
      <c r="VOQ44" s="22"/>
      <c r="VOR44" s="22"/>
      <c r="VOS44" s="22"/>
      <c r="VOT44" s="22"/>
      <c r="VOU44" s="22"/>
      <c r="VOV44" s="22"/>
      <c r="VOW44" s="22"/>
      <c r="VOX44" s="22"/>
      <c r="VOY44" s="22"/>
      <c r="VOZ44" s="22"/>
      <c r="VPA44" s="22"/>
      <c r="VPB44" s="22"/>
      <c r="VPC44" s="22"/>
      <c r="VPD44" s="22"/>
      <c r="VPE44" s="22"/>
      <c r="VPF44" s="22"/>
      <c r="VPG44" s="22"/>
      <c r="VPH44" s="22"/>
      <c r="VPI44" s="22"/>
      <c r="VPJ44" s="22"/>
      <c r="VPK44" s="22"/>
      <c r="VPL44" s="22"/>
      <c r="VPM44" s="22"/>
      <c r="VPN44" s="22"/>
      <c r="VPO44" s="22"/>
      <c r="VPP44" s="22"/>
      <c r="VPQ44" s="22"/>
      <c r="VPR44" s="22"/>
      <c r="VPS44" s="22"/>
      <c r="VPT44" s="22"/>
      <c r="VPU44" s="22"/>
      <c r="VPV44" s="22"/>
      <c r="VPW44" s="22"/>
      <c r="VPX44" s="22"/>
      <c r="VPY44" s="22"/>
      <c r="VPZ44" s="22"/>
      <c r="VQA44" s="22"/>
      <c r="VQB44" s="22"/>
      <c r="VQC44" s="22"/>
      <c r="VQD44" s="22"/>
      <c r="VQE44" s="22"/>
      <c r="VQF44" s="22"/>
      <c r="VQG44" s="22"/>
      <c r="VQH44" s="22"/>
      <c r="VQI44" s="22"/>
      <c r="VQJ44" s="22"/>
      <c r="VQK44" s="22"/>
      <c r="VQL44" s="22"/>
      <c r="VQM44" s="22"/>
      <c r="VQN44" s="22"/>
      <c r="VQO44" s="22"/>
      <c r="VQP44" s="22"/>
      <c r="VQQ44" s="22"/>
      <c r="VQR44" s="22"/>
      <c r="VQS44" s="22"/>
      <c r="VQT44" s="22"/>
      <c r="VQU44" s="22"/>
      <c r="VQV44" s="22"/>
      <c r="VQW44" s="22"/>
      <c r="VQX44" s="22"/>
      <c r="VQY44" s="22"/>
      <c r="VQZ44" s="22"/>
      <c r="VRA44" s="22"/>
      <c r="VRB44" s="22"/>
      <c r="VRC44" s="22"/>
      <c r="VRD44" s="22"/>
      <c r="VRE44" s="22"/>
      <c r="VRF44" s="22"/>
      <c r="VRG44" s="22"/>
      <c r="VRH44" s="22"/>
      <c r="VRI44" s="22"/>
      <c r="VRJ44" s="22"/>
      <c r="VRK44" s="22"/>
      <c r="VRL44" s="22"/>
      <c r="VRM44" s="22"/>
      <c r="VRN44" s="22"/>
      <c r="VRO44" s="22"/>
      <c r="VRP44" s="22"/>
      <c r="VRQ44" s="22"/>
      <c r="VRR44" s="22"/>
      <c r="VRS44" s="22"/>
      <c r="VRT44" s="22"/>
      <c r="VRU44" s="22"/>
      <c r="VRV44" s="22"/>
      <c r="VRW44" s="22"/>
      <c r="VRX44" s="22"/>
      <c r="VRY44" s="22"/>
      <c r="VRZ44" s="22"/>
      <c r="VSA44" s="22"/>
      <c r="VSB44" s="22"/>
      <c r="VSC44" s="22"/>
      <c r="VSD44" s="22"/>
      <c r="VSE44" s="22"/>
      <c r="VSF44" s="22"/>
      <c r="VSG44" s="22"/>
      <c r="VSH44" s="22"/>
      <c r="VSI44" s="22"/>
      <c r="VSJ44" s="22"/>
      <c r="VSK44" s="22"/>
      <c r="VSL44" s="22"/>
      <c r="VSM44" s="22"/>
      <c r="VSN44" s="22"/>
      <c r="VSO44" s="22"/>
      <c r="VSP44" s="22"/>
      <c r="VSQ44" s="22"/>
      <c r="VSR44" s="22"/>
      <c r="VSS44" s="22"/>
      <c r="VST44" s="22"/>
      <c r="VSU44" s="22"/>
      <c r="VSV44" s="22"/>
      <c r="VSW44" s="22"/>
      <c r="VSX44" s="22"/>
      <c r="VSY44" s="22"/>
      <c r="VSZ44" s="22"/>
      <c r="VTA44" s="22"/>
      <c r="VTB44" s="22"/>
      <c r="VTC44" s="22"/>
      <c r="VTD44" s="22"/>
      <c r="VTE44" s="22"/>
      <c r="VTF44" s="22"/>
      <c r="VTG44" s="22"/>
      <c r="VTH44" s="22"/>
      <c r="VTI44" s="22"/>
      <c r="VTJ44" s="22"/>
      <c r="VTK44" s="22"/>
      <c r="VTL44" s="22"/>
      <c r="VTM44" s="22"/>
      <c r="VTN44" s="22"/>
      <c r="VTO44" s="22"/>
      <c r="VTP44" s="22"/>
      <c r="VTQ44" s="22"/>
      <c r="VTR44" s="22"/>
      <c r="VTS44" s="22"/>
      <c r="VTT44" s="22"/>
      <c r="VTU44" s="22"/>
      <c r="VTV44" s="22"/>
      <c r="VTW44" s="22"/>
      <c r="VTX44" s="22"/>
      <c r="VTY44" s="22"/>
      <c r="VTZ44" s="22"/>
      <c r="VUA44" s="22"/>
      <c r="VUB44" s="22"/>
      <c r="VUC44" s="22"/>
      <c r="VUD44" s="22"/>
      <c r="VUE44" s="22"/>
      <c r="VUF44" s="22"/>
      <c r="VUG44" s="22"/>
      <c r="VUH44" s="22"/>
      <c r="VUI44" s="22"/>
      <c r="VUJ44" s="22"/>
      <c r="VUK44" s="22"/>
      <c r="VUL44" s="22"/>
      <c r="VUM44" s="22"/>
      <c r="VUN44" s="22"/>
      <c r="VUO44" s="22"/>
      <c r="VUP44" s="22"/>
      <c r="VUQ44" s="22"/>
      <c r="VUR44" s="22"/>
      <c r="VUS44" s="22"/>
      <c r="VUT44" s="22"/>
      <c r="VUU44" s="22"/>
      <c r="VUV44" s="22"/>
      <c r="VUW44" s="22"/>
      <c r="VUX44" s="22"/>
      <c r="VUY44" s="22"/>
      <c r="VUZ44" s="22"/>
      <c r="VVA44" s="22"/>
      <c r="VVB44" s="22"/>
      <c r="VVC44" s="22"/>
      <c r="VVD44" s="22"/>
      <c r="VVE44" s="22"/>
      <c r="VVF44" s="22"/>
      <c r="VVG44" s="22"/>
      <c r="VVH44" s="22"/>
      <c r="VVI44" s="22"/>
      <c r="VVJ44" s="22"/>
      <c r="VVK44" s="22"/>
      <c r="VVL44" s="22"/>
      <c r="VVM44" s="22"/>
      <c r="VVN44" s="22"/>
      <c r="VVO44" s="22"/>
      <c r="VVP44" s="22"/>
      <c r="VVQ44" s="22"/>
      <c r="VVR44" s="22"/>
      <c r="VVS44" s="22"/>
      <c r="VVT44" s="22"/>
      <c r="VVU44" s="22"/>
      <c r="VVV44" s="22"/>
      <c r="VVW44" s="22"/>
      <c r="VVX44" s="22"/>
      <c r="VVY44" s="22"/>
      <c r="VVZ44" s="22"/>
      <c r="VWA44" s="22"/>
      <c r="VWB44" s="22"/>
      <c r="VWC44" s="22"/>
      <c r="VWD44" s="22"/>
      <c r="VWE44" s="22"/>
      <c r="VWF44" s="22"/>
      <c r="VWG44" s="22"/>
      <c r="VWH44" s="22"/>
      <c r="VWI44" s="22"/>
      <c r="VWJ44" s="22"/>
      <c r="VWK44" s="22"/>
      <c r="VWL44" s="22"/>
      <c r="VWM44" s="22"/>
      <c r="VWN44" s="22"/>
      <c r="VWO44" s="22"/>
      <c r="VWP44" s="22"/>
      <c r="VWQ44" s="22"/>
      <c r="VWR44" s="22"/>
      <c r="VWS44" s="22"/>
      <c r="VWT44" s="22"/>
      <c r="VWU44" s="22"/>
      <c r="VWV44" s="22"/>
      <c r="VWW44" s="22"/>
      <c r="VWX44" s="22"/>
      <c r="VWY44" s="22"/>
      <c r="VWZ44" s="22"/>
      <c r="VXA44" s="22"/>
      <c r="VXB44" s="22"/>
      <c r="VXC44" s="22"/>
      <c r="VXD44" s="22"/>
      <c r="VXE44" s="22"/>
      <c r="VXF44" s="22"/>
      <c r="VXG44" s="22"/>
      <c r="VXH44" s="22"/>
      <c r="VXI44" s="22"/>
      <c r="VXJ44" s="22"/>
      <c r="VXK44" s="22"/>
      <c r="VXL44" s="22"/>
      <c r="VXM44" s="22"/>
      <c r="VXN44" s="22"/>
      <c r="VXO44" s="22"/>
      <c r="VXP44" s="22"/>
      <c r="VXQ44" s="22"/>
      <c r="VXR44" s="22"/>
      <c r="VXS44" s="22"/>
      <c r="VXT44" s="22"/>
      <c r="VXU44" s="22"/>
      <c r="VXV44" s="22"/>
      <c r="VXW44" s="22"/>
      <c r="VXX44" s="22"/>
      <c r="VXY44" s="22"/>
      <c r="VXZ44" s="22"/>
      <c r="VYA44" s="22"/>
      <c r="VYB44" s="22"/>
      <c r="VYC44" s="22"/>
      <c r="VYD44" s="22"/>
      <c r="VYE44" s="22"/>
      <c r="VYF44" s="22"/>
      <c r="VYG44" s="22"/>
      <c r="VYH44" s="22"/>
      <c r="VYI44" s="22"/>
      <c r="VYJ44" s="22"/>
      <c r="VYK44" s="22"/>
      <c r="VYL44" s="22"/>
      <c r="VYM44" s="22"/>
      <c r="VYN44" s="22"/>
      <c r="VYO44" s="22"/>
      <c r="VYP44" s="22"/>
      <c r="VYQ44" s="22"/>
      <c r="VYR44" s="22"/>
      <c r="VYS44" s="22"/>
      <c r="VYT44" s="22"/>
      <c r="VYU44" s="22"/>
      <c r="VYV44" s="22"/>
      <c r="VYW44" s="22"/>
      <c r="VYX44" s="22"/>
      <c r="VYY44" s="22"/>
      <c r="VYZ44" s="22"/>
      <c r="VZA44" s="22"/>
      <c r="VZB44" s="22"/>
      <c r="VZC44" s="22"/>
      <c r="VZD44" s="22"/>
      <c r="VZE44" s="22"/>
      <c r="VZF44" s="22"/>
      <c r="VZG44" s="22"/>
      <c r="VZH44" s="22"/>
      <c r="VZI44" s="22"/>
      <c r="VZJ44" s="22"/>
      <c r="VZK44" s="22"/>
      <c r="VZL44" s="22"/>
      <c r="VZM44" s="22"/>
      <c r="VZN44" s="22"/>
      <c r="VZO44" s="22"/>
      <c r="VZP44" s="22"/>
      <c r="VZQ44" s="22"/>
      <c r="VZR44" s="22"/>
      <c r="VZS44" s="22"/>
      <c r="VZT44" s="22"/>
      <c r="VZU44" s="22"/>
      <c r="VZV44" s="22"/>
      <c r="VZW44" s="22"/>
      <c r="VZX44" s="22"/>
      <c r="VZY44" s="22"/>
      <c r="VZZ44" s="22"/>
      <c r="WAA44" s="22"/>
      <c r="WAB44" s="22"/>
      <c r="WAC44" s="22"/>
      <c r="WAD44" s="22"/>
      <c r="WAE44" s="22"/>
      <c r="WAF44" s="22"/>
      <c r="WAG44" s="22"/>
      <c r="WAH44" s="22"/>
      <c r="WAI44" s="22"/>
      <c r="WAJ44" s="22"/>
      <c r="WAK44" s="22"/>
      <c r="WAL44" s="22"/>
      <c r="WAM44" s="22"/>
      <c r="WAN44" s="22"/>
      <c r="WAO44" s="22"/>
      <c r="WAP44" s="22"/>
      <c r="WAQ44" s="22"/>
      <c r="WAR44" s="22"/>
      <c r="WAS44" s="22"/>
      <c r="WAT44" s="22"/>
      <c r="WAU44" s="22"/>
      <c r="WAV44" s="22"/>
      <c r="WAW44" s="22"/>
      <c r="WAX44" s="22"/>
      <c r="WAY44" s="22"/>
      <c r="WAZ44" s="22"/>
      <c r="WBA44" s="22"/>
      <c r="WBB44" s="22"/>
      <c r="WBC44" s="22"/>
      <c r="WBD44" s="22"/>
      <c r="WBE44" s="22"/>
      <c r="WBF44" s="22"/>
      <c r="WBG44" s="22"/>
      <c r="WBH44" s="22"/>
      <c r="WBI44" s="22"/>
      <c r="WBJ44" s="22"/>
      <c r="WBK44" s="22"/>
      <c r="WBL44" s="22"/>
      <c r="WBM44" s="22"/>
      <c r="WBN44" s="22"/>
      <c r="WBO44" s="22"/>
      <c r="WBP44" s="22"/>
      <c r="WBQ44" s="22"/>
      <c r="WBR44" s="22"/>
      <c r="WBS44" s="22"/>
      <c r="WBT44" s="22"/>
      <c r="WBU44" s="22"/>
      <c r="WBV44" s="22"/>
      <c r="WBW44" s="22"/>
      <c r="WBX44" s="22"/>
      <c r="WBY44" s="22"/>
      <c r="WBZ44" s="22"/>
      <c r="WCA44" s="22"/>
      <c r="WCB44" s="22"/>
      <c r="WCC44" s="22"/>
      <c r="WCD44" s="22"/>
      <c r="WCE44" s="22"/>
      <c r="WCF44" s="22"/>
      <c r="WCG44" s="22"/>
      <c r="WCH44" s="22"/>
      <c r="WCI44" s="22"/>
      <c r="WCJ44" s="22"/>
      <c r="WCK44" s="22"/>
      <c r="WCL44" s="22"/>
      <c r="WCM44" s="22"/>
      <c r="WCN44" s="22"/>
      <c r="WCO44" s="22"/>
      <c r="WCP44" s="22"/>
      <c r="WCQ44" s="22"/>
      <c r="WCR44" s="22"/>
      <c r="WCS44" s="22"/>
      <c r="WCT44" s="22"/>
      <c r="WCU44" s="22"/>
      <c r="WCV44" s="22"/>
      <c r="WCW44" s="22"/>
      <c r="WCX44" s="22"/>
      <c r="WCY44" s="22"/>
      <c r="WCZ44" s="22"/>
      <c r="WDA44" s="22"/>
      <c r="WDB44" s="22"/>
      <c r="WDC44" s="22"/>
      <c r="WDD44" s="22"/>
      <c r="WDE44" s="22"/>
      <c r="WDF44" s="22"/>
      <c r="WDG44" s="22"/>
      <c r="WDH44" s="22"/>
      <c r="WDI44" s="22"/>
      <c r="WDJ44" s="22"/>
      <c r="WDK44" s="22"/>
      <c r="WDL44" s="22"/>
      <c r="WDM44" s="22"/>
      <c r="WDN44" s="22"/>
      <c r="WDO44" s="22"/>
      <c r="WDP44" s="22"/>
      <c r="WDQ44" s="22"/>
      <c r="WDR44" s="22"/>
      <c r="WDS44" s="22"/>
      <c r="WDT44" s="22"/>
      <c r="WDU44" s="22"/>
      <c r="WDV44" s="22"/>
      <c r="WDW44" s="22"/>
      <c r="WDX44" s="22"/>
      <c r="WDY44" s="22"/>
      <c r="WDZ44" s="22"/>
      <c r="WEA44" s="22"/>
      <c r="WEB44" s="22"/>
      <c r="WEC44" s="22"/>
      <c r="WED44" s="22"/>
      <c r="WEE44" s="22"/>
      <c r="WEF44" s="22"/>
      <c r="WEG44" s="22"/>
      <c r="WEH44" s="22"/>
      <c r="WEI44" s="22"/>
      <c r="WEJ44" s="22"/>
      <c r="WEK44" s="22"/>
      <c r="WEL44" s="22"/>
      <c r="WEM44" s="22"/>
      <c r="WEN44" s="22"/>
      <c r="WEO44" s="22"/>
      <c r="WEP44" s="22"/>
      <c r="WEQ44" s="22"/>
      <c r="WER44" s="22"/>
      <c r="WES44" s="22"/>
      <c r="WET44" s="22"/>
      <c r="WEU44" s="22"/>
      <c r="WEV44" s="22"/>
      <c r="WEW44" s="22"/>
      <c r="WEX44" s="22"/>
      <c r="WEY44" s="22"/>
      <c r="WEZ44" s="22"/>
      <c r="WFA44" s="22"/>
      <c r="WFB44" s="22"/>
      <c r="WFC44" s="22"/>
      <c r="WFD44" s="22"/>
      <c r="WFE44" s="22"/>
      <c r="WFF44" s="22"/>
      <c r="WFG44" s="22"/>
      <c r="WFH44" s="22"/>
      <c r="WFI44" s="22"/>
      <c r="WFJ44" s="22"/>
      <c r="WFK44" s="22"/>
      <c r="WFL44" s="22"/>
      <c r="WFM44" s="22"/>
      <c r="WFN44" s="22"/>
      <c r="WFO44" s="22"/>
      <c r="WFP44" s="22"/>
      <c r="WFQ44" s="22"/>
      <c r="WFR44" s="22"/>
      <c r="WFS44" s="22"/>
      <c r="WFT44" s="22"/>
      <c r="WFU44" s="22"/>
      <c r="WFV44" s="22"/>
      <c r="WFW44" s="22"/>
      <c r="WFX44" s="22"/>
      <c r="WFY44" s="22"/>
      <c r="WFZ44" s="22"/>
      <c r="WGA44" s="22"/>
      <c r="WGB44" s="22"/>
      <c r="WGC44" s="22"/>
      <c r="WGD44" s="22"/>
      <c r="WGE44" s="22"/>
      <c r="WGF44" s="22"/>
      <c r="WGG44" s="22"/>
      <c r="WGH44" s="22"/>
      <c r="WGI44" s="22"/>
      <c r="WGJ44" s="22"/>
      <c r="WGK44" s="22"/>
      <c r="WGL44" s="22"/>
      <c r="WGM44" s="22"/>
      <c r="WGN44" s="22"/>
      <c r="WGO44" s="22"/>
      <c r="WGP44" s="22"/>
      <c r="WGQ44" s="22"/>
      <c r="WGR44" s="22"/>
      <c r="WGS44" s="22"/>
      <c r="WGT44" s="22"/>
      <c r="WGU44" s="22"/>
      <c r="WGV44" s="22"/>
      <c r="WGW44" s="22"/>
      <c r="WGX44" s="22"/>
      <c r="WGY44" s="22"/>
      <c r="WGZ44" s="22"/>
      <c r="WHA44" s="22"/>
      <c r="WHB44" s="22"/>
      <c r="WHC44" s="22"/>
      <c r="WHD44" s="22"/>
      <c r="WHE44" s="22"/>
      <c r="WHF44" s="22"/>
      <c r="WHG44" s="22"/>
      <c r="WHH44" s="22"/>
      <c r="WHI44" s="22"/>
      <c r="WHJ44" s="22"/>
      <c r="WHK44" s="22"/>
      <c r="WHL44" s="22"/>
      <c r="WHM44" s="22"/>
      <c r="WHN44" s="22"/>
      <c r="WHO44" s="22"/>
      <c r="WHP44" s="22"/>
      <c r="WHQ44" s="22"/>
      <c r="WHR44" s="22"/>
      <c r="WHS44" s="22"/>
      <c r="WHT44" s="22"/>
      <c r="WHU44" s="22"/>
      <c r="WHV44" s="22"/>
      <c r="WHW44" s="22"/>
      <c r="WHX44" s="22"/>
      <c r="WHY44" s="22"/>
      <c r="WHZ44" s="22"/>
      <c r="WIA44" s="22"/>
      <c r="WIB44" s="22"/>
      <c r="WIC44" s="22"/>
      <c r="WID44" s="22"/>
      <c r="WIE44" s="22"/>
      <c r="WIF44" s="22"/>
      <c r="WIG44" s="22"/>
      <c r="WIH44" s="22"/>
      <c r="WII44" s="22"/>
      <c r="WIJ44" s="22"/>
      <c r="WIK44" s="22"/>
      <c r="WIL44" s="22"/>
      <c r="WIM44" s="22"/>
      <c r="WIN44" s="22"/>
      <c r="WIO44" s="22"/>
      <c r="WIP44" s="22"/>
      <c r="WIQ44" s="22"/>
      <c r="WIR44" s="22"/>
      <c r="WIS44" s="22"/>
      <c r="WIT44" s="22"/>
      <c r="WIU44" s="22"/>
      <c r="WIV44" s="22"/>
      <c r="WIW44" s="22"/>
      <c r="WIX44" s="22"/>
      <c r="WIY44" s="22"/>
      <c r="WIZ44" s="22"/>
      <c r="WJA44" s="22"/>
      <c r="WJB44" s="22"/>
      <c r="WJC44" s="22"/>
      <c r="WJD44" s="22"/>
      <c r="WJE44" s="22"/>
      <c r="WJF44" s="22"/>
      <c r="WJG44" s="22"/>
      <c r="WJH44" s="22"/>
      <c r="WJI44" s="22"/>
      <c r="WJJ44" s="22"/>
      <c r="WJK44" s="22"/>
      <c r="WJL44" s="22"/>
      <c r="WJM44" s="22"/>
      <c r="WJN44" s="22"/>
      <c r="WJO44" s="22"/>
      <c r="WJP44" s="22"/>
      <c r="WJQ44" s="22"/>
      <c r="WJR44" s="22"/>
      <c r="WJS44" s="22"/>
      <c r="WJT44" s="22"/>
      <c r="WJU44" s="22"/>
      <c r="WJV44" s="22"/>
      <c r="WJW44" s="22"/>
      <c r="WJX44" s="22"/>
      <c r="WJY44" s="22"/>
      <c r="WJZ44" s="22"/>
      <c r="WKA44" s="22"/>
      <c r="WKB44" s="22"/>
      <c r="WKC44" s="22"/>
      <c r="WKD44" s="22"/>
      <c r="WKE44" s="22"/>
      <c r="WKF44" s="22"/>
      <c r="WKG44" s="22"/>
      <c r="WKH44" s="22"/>
      <c r="WKI44" s="22"/>
      <c r="WKJ44" s="22"/>
      <c r="WKK44" s="22"/>
      <c r="WKL44" s="22"/>
      <c r="WKM44" s="22"/>
      <c r="WKN44" s="22"/>
      <c r="WKO44" s="22"/>
      <c r="WKP44" s="22"/>
      <c r="WKQ44" s="22"/>
      <c r="WKR44" s="22"/>
      <c r="WKS44" s="22"/>
      <c r="WKT44" s="22"/>
      <c r="WKU44" s="22"/>
      <c r="WKV44" s="22"/>
      <c r="WKW44" s="22"/>
      <c r="WKX44" s="22"/>
      <c r="WKY44" s="22"/>
      <c r="WKZ44" s="22"/>
      <c r="WLA44" s="22"/>
      <c r="WLB44" s="22"/>
      <c r="WLC44" s="22"/>
      <c r="WLD44" s="22"/>
      <c r="WLE44" s="22"/>
      <c r="WLF44" s="22"/>
      <c r="WLG44" s="22"/>
      <c r="WLH44" s="22"/>
      <c r="WLI44" s="22"/>
      <c r="WLJ44" s="22"/>
      <c r="WLK44" s="22"/>
      <c r="WLL44" s="22"/>
      <c r="WLM44" s="22"/>
      <c r="WLN44" s="22"/>
      <c r="WLO44" s="22"/>
      <c r="WLP44" s="22"/>
      <c r="WLQ44" s="22"/>
      <c r="WLR44" s="22"/>
      <c r="WLS44" s="22"/>
      <c r="WLT44" s="22"/>
      <c r="WLU44" s="22"/>
      <c r="WLV44" s="22"/>
      <c r="WLW44" s="22"/>
      <c r="WLX44" s="22"/>
      <c r="WLY44" s="22"/>
      <c r="WLZ44" s="22"/>
      <c r="WMA44" s="22"/>
      <c r="WMB44" s="22"/>
      <c r="WMC44" s="22"/>
      <c r="WMD44" s="22"/>
      <c r="WME44" s="22"/>
      <c r="WMF44" s="22"/>
      <c r="WMG44" s="22"/>
      <c r="WMH44" s="22"/>
      <c r="WMI44" s="22"/>
      <c r="WMJ44" s="22"/>
      <c r="WMK44" s="22"/>
      <c r="WML44" s="22"/>
      <c r="WMM44" s="22"/>
      <c r="WMN44" s="22"/>
      <c r="WMO44" s="22"/>
      <c r="WMP44" s="22"/>
      <c r="WMQ44" s="22"/>
      <c r="WMR44" s="22"/>
      <c r="WMS44" s="22"/>
      <c r="WMT44" s="22"/>
      <c r="WMU44" s="22"/>
      <c r="WMV44" s="22"/>
      <c r="WMW44" s="22"/>
      <c r="WMX44" s="22"/>
      <c r="WMY44" s="22"/>
      <c r="WMZ44" s="22"/>
      <c r="WNA44" s="22"/>
      <c r="WNB44" s="22"/>
      <c r="WNC44" s="22"/>
      <c r="WND44" s="22"/>
      <c r="WNE44" s="22"/>
      <c r="WNF44" s="22"/>
      <c r="WNG44" s="22"/>
      <c r="WNH44" s="22"/>
      <c r="WNI44" s="22"/>
      <c r="WNJ44" s="22"/>
      <c r="WNK44" s="22"/>
      <c r="WNL44" s="22"/>
      <c r="WNM44" s="22"/>
      <c r="WNN44" s="22"/>
      <c r="WNO44" s="22"/>
      <c r="WNP44" s="22"/>
      <c r="WNQ44" s="22"/>
      <c r="WNR44" s="22"/>
      <c r="WNS44" s="22"/>
      <c r="WNT44" s="22"/>
      <c r="WNU44" s="22"/>
      <c r="WNV44" s="22"/>
      <c r="WNW44" s="22"/>
      <c r="WNX44" s="22"/>
      <c r="WNY44" s="22"/>
      <c r="WNZ44" s="22"/>
      <c r="WOA44" s="22"/>
      <c r="WOB44" s="22"/>
      <c r="WOC44" s="22"/>
      <c r="WOD44" s="22"/>
      <c r="WOE44" s="22"/>
      <c r="WOF44" s="22"/>
      <c r="WOG44" s="22"/>
      <c r="WOH44" s="22"/>
      <c r="WOI44" s="22"/>
      <c r="WOJ44" s="22"/>
      <c r="WOK44" s="22"/>
      <c r="WOL44" s="22"/>
      <c r="WOM44" s="22"/>
      <c r="WON44" s="22"/>
      <c r="WOO44" s="22"/>
      <c r="WOP44" s="22"/>
      <c r="WOQ44" s="22"/>
      <c r="WOR44" s="22"/>
      <c r="WOS44" s="22"/>
      <c r="WOT44" s="22"/>
      <c r="WOU44" s="22"/>
      <c r="WOV44" s="22"/>
      <c r="WOW44" s="22"/>
      <c r="WOX44" s="22"/>
      <c r="WOY44" s="22"/>
      <c r="WOZ44" s="22"/>
      <c r="WPA44" s="22"/>
      <c r="WPB44" s="22"/>
      <c r="WPC44" s="22"/>
      <c r="WPD44" s="22"/>
      <c r="WPE44" s="22"/>
      <c r="WPF44" s="22"/>
      <c r="WPG44" s="22"/>
      <c r="WPH44" s="22"/>
      <c r="WPI44" s="22"/>
      <c r="WPJ44" s="22"/>
      <c r="WPK44" s="22"/>
      <c r="WPL44" s="22"/>
      <c r="WPM44" s="22"/>
      <c r="WPN44" s="22"/>
      <c r="WPO44" s="22"/>
      <c r="WPP44" s="22"/>
      <c r="WPQ44" s="22"/>
      <c r="WPR44" s="22"/>
      <c r="WPS44" s="22"/>
      <c r="WPT44" s="22"/>
      <c r="WPU44" s="22"/>
      <c r="WPV44" s="22"/>
      <c r="WPW44" s="22"/>
      <c r="WPX44" s="22"/>
      <c r="WPY44" s="22"/>
      <c r="WPZ44" s="22"/>
      <c r="WQA44" s="22"/>
      <c r="WQB44" s="22"/>
      <c r="WQC44" s="22"/>
      <c r="WQD44" s="22"/>
      <c r="WQE44" s="22"/>
      <c r="WQF44" s="22"/>
      <c r="WQG44" s="22"/>
      <c r="WQH44" s="22"/>
      <c r="WQI44" s="22"/>
      <c r="WQJ44" s="22"/>
      <c r="WQK44" s="22"/>
      <c r="WQL44" s="22"/>
      <c r="WQM44" s="22"/>
      <c r="WQN44" s="22"/>
      <c r="WQO44" s="22"/>
      <c r="WQP44" s="22"/>
      <c r="WQQ44" s="22"/>
      <c r="WQR44" s="22"/>
      <c r="WQS44" s="22"/>
      <c r="WQT44" s="22"/>
      <c r="WQU44" s="22"/>
      <c r="WQV44" s="22"/>
      <c r="WQW44" s="22"/>
      <c r="WQX44" s="22"/>
      <c r="WQY44" s="22"/>
      <c r="WQZ44" s="22"/>
      <c r="WRA44" s="22"/>
      <c r="WRB44" s="22"/>
      <c r="WRC44" s="22"/>
      <c r="WRD44" s="22"/>
      <c r="WRE44" s="22"/>
      <c r="WRF44" s="22"/>
      <c r="WRG44" s="22"/>
      <c r="WRH44" s="22"/>
      <c r="WRI44" s="22"/>
      <c r="WRJ44" s="22"/>
      <c r="WRK44" s="22"/>
      <c r="WRL44" s="22"/>
      <c r="WRM44" s="22"/>
      <c r="WRN44" s="22"/>
      <c r="WRO44" s="22"/>
      <c r="WRP44" s="22"/>
      <c r="WRQ44" s="22"/>
      <c r="WRR44" s="22"/>
      <c r="WRS44" s="22"/>
      <c r="WRT44" s="22"/>
      <c r="WRU44" s="22"/>
      <c r="WRV44" s="22"/>
      <c r="WRW44" s="22"/>
      <c r="WRX44" s="22"/>
      <c r="WRY44" s="22"/>
      <c r="WRZ44" s="22"/>
      <c r="WSA44" s="22"/>
      <c r="WSB44" s="22"/>
      <c r="WSC44" s="22"/>
      <c r="WSD44" s="22"/>
      <c r="WSE44" s="22"/>
      <c r="WSF44" s="22"/>
      <c r="WSG44" s="22"/>
      <c r="WSH44" s="22"/>
      <c r="WSI44" s="22"/>
      <c r="WSJ44" s="22"/>
      <c r="WSK44" s="22"/>
      <c r="WSL44" s="22"/>
      <c r="WSM44" s="22"/>
      <c r="WSN44" s="22"/>
      <c r="WSO44" s="22"/>
      <c r="WSP44" s="22"/>
      <c r="WSQ44" s="22"/>
      <c r="WSR44" s="22"/>
      <c r="WSS44" s="22"/>
      <c r="WST44" s="22"/>
      <c r="WSU44" s="22"/>
      <c r="WSV44" s="22"/>
      <c r="WSW44" s="22"/>
      <c r="WSX44" s="22"/>
      <c r="WSY44" s="22"/>
      <c r="WSZ44" s="22"/>
      <c r="WTA44" s="22"/>
      <c r="WTB44" s="22"/>
      <c r="WTC44" s="22"/>
      <c r="WTD44" s="22"/>
      <c r="WTE44" s="22"/>
      <c r="WTF44" s="22"/>
      <c r="WTG44" s="22"/>
      <c r="WTH44" s="22"/>
      <c r="WTI44" s="22"/>
      <c r="WTJ44" s="22"/>
      <c r="WTK44" s="22"/>
      <c r="WTL44" s="22"/>
      <c r="WTM44" s="22"/>
      <c r="WTN44" s="22"/>
      <c r="WTO44" s="22"/>
      <c r="WTP44" s="22"/>
      <c r="WTQ44" s="22"/>
      <c r="WTR44" s="22"/>
      <c r="WTS44" s="22"/>
      <c r="WTT44" s="22"/>
      <c r="WTU44" s="22"/>
      <c r="WTV44" s="22"/>
      <c r="WTW44" s="22"/>
      <c r="WTX44" s="22"/>
      <c r="WTY44" s="22"/>
      <c r="WTZ44" s="22"/>
      <c r="WUA44" s="22"/>
      <c r="WUB44" s="22"/>
      <c r="WUC44" s="22"/>
      <c r="WUD44" s="22"/>
      <c r="WUE44" s="22"/>
      <c r="WUF44" s="22"/>
      <c r="WUG44" s="22"/>
      <c r="WUH44" s="22"/>
      <c r="WUI44" s="22"/>
      <c r="WUJ44" s="22"/>
      <c r="WUK44" s="22"/>
      <c r="WUL44" s="22"/>
      <c r="WUM44" s="22"/>
      <c r="WUN44" s="22"/>
      <c r="WUO44" s="22"/>
      <c r="WUP44" s="22"/>
      <c r="WUQ44" s="22"/>
      <c r="WUR44" s="22"/>
      <c r="WUS44" s="22"/>
      <c r="WUT44" s="22"/>
      <c r="WUU44" s="22"/>
      <c r="WUV44" s="22"/>
      <c r="WUW44" s="22"/>
      <c r="WUX44" s="22"/>
      <c r="WUY44" s="22"/>
      <c r="WUZ44" s="22"/>
      <c r="WVA44" s="22"/>
      <c r="WVB44" s="22"/>
      <c r="WVC44" s="22"/>
      <c r="WVD44" s="22"/>
      <c r="WVE44" s="22"/>
      <c r="WVF44" s="22"/>
      <c r="WVG44" s="22"/>
      <c r="WVH44" s="22"/>
      <c r="WVI44" s="22"/>
      <c r="WVJ44" s="22"/>
      <c r="WVK44" s="22"/>
      <c r="WVL44" s="22"/>
      <c r="WVM44" s="22"/>
      <c r="WVN44" s="22"/>
      <c r="WVO44" s="22"/>
      <c r="WVP44" s="22"/>
      <c r="WVQ44" s="22"/>
      <c r="WVR44" s="22"/>
      <c r="WVS44" s="22"/>
      <c r="WVT44" s="22"/>
      <c r="WVU44" s="22"/>
      <c r="WVV44" s="22"/>
      <c r="WVW44" s="22"/>
      <c r="WVX44" s="22"/>
      <c r="WVY44" s="22"/>
      <c r="WVZ44" s="22"/>
      <c r="WWA44" s="22"/>
      <c r="WWB44" s="22"/>
      <c r="WWC44" s="22"/>
      <c r="WWD44" s="22"/>
      <c r="WWE44" s="22"/>
      <c r="WWF44" s="22"/>
      <c r="WWG44" s="22"/>
      <c r="WWH44" s="22"/>
      <c r="WWI44" s="22"/>
      <c r="WWJ44" s="22"/>
      <c r="WWK44" s="22"/>
      <c r="WWL44" s="22"/>
      <c r="WWM44" s="22"/>
      <c r="WWN44" s="22"/>
      <c r="WWO44" s="22"/>
      <c r="WWP44" s="22"/>
      <c r="WWQ44" s="22"/>
      <c r="WWR44" s="22"/>
      <c r="WWS44" s="22"/>
      <c r="WWT44" s="22"/>
      <c r="WWU44" s="22"/>
      <c r="WWV44" s="22"/>
      <c r="WWW44" s="22"/>
      <c r="WWX44" s="22"/>
      <c r="WWY44" s="22"/>
      <c r="WWZ44" s="22"/>
      <c r="WXA44" s="22"/>
      <c r="WXB44" s="22"/>
      <c r="WXC44" s="22"/>
      <c r="WXD44" s="22"/>
      <c r="WXE44" s="22"/>
      <c r="WXF44" s="22"/>
      <c r="WXG44" s="22"/>
      <c r="WXH44" s="22"/>
      <c r="WXI44" s="22"/>
      <c r="WXJ44" s="22"/>
      <c r="WXK44" s="22"/>
      <c r="WXL44" s="22"/>
      <c r="WXM44" s="22"/>
      <c r="WXN44" s="22"/>
      <c r="WXO44" s="22"/>
      <c r="WXP44" s="22"/>
      <c r="WXQ44" s="22"/>
      <c r="WXR44" s="22"/>
      <c r="WXS44" s="22"/>
      <c r="WXT44" s="22"/>
      <c r="WXU44" s="22"/>
      <c r="WXV44" s="22"/>
      <c r="WXW44" s="22"/>
      <c r="WXX44" s="22"/>
      <c r="WXY44" s="22"/>
      <c r="WXZ44" s="22"/>
      <c r="WYA44" s="22"/>
      <c r="WYB44" s="22"/>
      <c r="WYC44" s="22"/>
      <c r="WYD44" s="22"/>
      <c r="WYE44" s="22"/>
      <c r="WYF44" s="22"/>
      <c r="WYG44" s="22"/>
      <c r="WYH44" s="22"/>
      <c r="WYI44" s="22"/>
      <c r="WYJ44" s="22"/>
      <c r="WYK44" s="22"/>
      <c r="WYL44" s="22"/>
      <c r="WYM44" s="22"/>
      <c r="WYN44" s="22"/>
      <c r="WYO44" s="22"/>
      <c r="WYP44" s="22"/>
      <c r="WYQ44" s="22"/>
      <c r="WYR44" s="22"/>
      <c r="WYS44" s="22"/>
      <c r="WYT44" s="22"/>
      <c r="WYU44" s="22"/>
      <c r="WYV44" s="22"/>
      <c r="WYW44" s="22"/>
      <c r="WYX44" s="22"/>
      <c r="WYY44" s="22"/>
      <c r="WYZ44" s="22"/>
      <c r="WZA44" s="22"/>
      <c r="WZB44" s="22"/>
      <c r="WZC44" s="22"/>
      <c r="WZD44" s="22"/>
      <c r="WZE44" s="22"/>
      <c r="WZF44" s="22"/>
      <c r="WZG44" s="22"/>
      <c r="WZH44" s="22"/>
      <c r="WZI44" s="22"/>
      <c r="WZJ44" s="22"/>
      <c r="WZK44" s="22"/>
      <c r="WZL44" s="22"/>
      <c r="WZM44" s="22"/>
      <c r="WZN44" s="22"/>
      <c r="WZO44" s="22"/>
      <c r="WZP44" s="22"/>
      <c r="WZQ44" s="22"/>
      <c r="WZR44" s="22"/>
      <c r="WZS44" s="22"/>
      <c r="WZT44" s="22"/>
      <c r="WZU44" s="22"/>
      <c r="WZV44" s="22"/>
      <c r="WZW44" s="22"/>
      <c r="WZX44" s="22"/>
      <c r="WZY44" s="22"/>
      <c r="WZZ44" s="22"/>
      <c r="XAA44" s="22"/>
      <c r="XAB44" s="22"/>
      <c r="XAC44" s="22"/>
      <c r="XAD44" s="22"/>
      <c r="XAE44" s="22"/>
      <c r="XAF44" s="22"/>
      <c r="XAG44" s="22"/>
      <c r="XAH44" s="22"/>
      <c r="XAI44" s="22"/>
      <c r="XAJ44" s="22"/>
      <c r="XAK44" s="22"/>
      <c r="XAL44" s="22"/>
      <c r="XAM44" s="22"/>
      <c r="XAN44" s="22"/>
      <c r="XAO44" s="22"/>
      <c r="XAP44" s="22"/>
      <c r="XAQ44" s="22"/>
      <c r="XAR44" s="22"/>
      <c r="XAS44" s="22"/>
      <c r="XAT44" s="22"/>
      <c r="XAU44" s="22"/>
      <c r="XAV44" s="22"/>
      <c r="XAW44" s="22"/>
      <c r="XAX44" s="22"/>
      <c r="XAY44" s="22"/>
      <c r="XAZ44" s="22"/>
      <c r="XBA44" s="22"/>
      <c r="XBB44" s="22"/>
      <c r="XBC44" s="22"/>
      <c r="XBD44" s="22"/>
      <c r="XBE44" s="22"/>
      <c r="XBF44" s="22"/>
      <c r="XBG44" s="22"/>
      <c r="XBH44" s="22"/>
      <c r="XBI44" s="22"/>
      <c r="XBJ44" s="22"/>
      <c r="XBK44" s="22"/>
      <c r="XBL44" s="22"/>
      <c r="XBM44" s="22"/>
      <c r="XBN44" s="22"/>
      <c r="XBO44" s="22"/>
      <c r="XBP44" s="22"/>
      <c r="XBQ44" s="22"/>
      <c r="XBR44" s="22"/>
      <c r="XBS44" s="22"/>
      <c r="XBT44" s="22"/>
      <c r="XBU44" s="22"/>
      <c r="XBV44" s="22"/>
      <c r="XBW44" s="22"/>
      <c r="XBX44" s="22"/>
      <c r="XBY44" s="22"/>
      <c r="XBZ44" s="22"/>
      <c r="XCA44" s="22"/>
      <c r="XCB44" s="22"/>
      <c r="XCC44" s="22"/>
      <c r="XCD44" s="22"/>
      <c r="XCE44" s="22"/>
      <c r="XCF44" s="22"/>
      <c r="XCG44" s="22"/>
      <c r="XCH44" s="22"/>
      <c r="XCI44" s="22"/>
      <c r="XCJ44" s="22"/>
      <c r="XCK44" s="22"/>
      <c r="XCL44" s="22"/>
      <c r="XCM44" s="22"/>
      <c r="XCN44" s="22"/>
      <c r="XCO44" s="22"/>
      <c r="XCP44" s="22"/>
      <c r="XCQ44" s="22"/>
      <c r="XCR44" s="22"/>
      <c r="XCS44" s="22"/>
      <c r="XCT44" s="22"/>
      <c r="XCU44" s="22"/>
      <c r="XCV44" s="22"/>
      <c r="XCW44" s="22"/>
      <c r="XCX44" s="22"/>
      <c r="XCY44" s="22"/>
      <c r="XCZ44" s="22"/>
      <c r="XDA44" s="22"/>
      <c r="XDB44" s="22"/>
      <c r="XDC44" s="22"/>
      <c r="XDD44" s="22"/>
      <c r="XDE44" s="22"/>
      <c r="XDF44" s="22"/>
      <c r="XDG44" s="22"/>
      <c r="XDH44" s="22"/>
      <c r="XDI44" s="22"/>
      <c r="XDJ44" s="22"/>
      <c r="XDK44" s="22"/>
      <c r="XDL44" s="22"/>
      <c r="XDM44" s="22"/>
      <c r="XDN44" s="22"/>
      <c r="XDO44" s="22"/>
      <c r="XDP44" s="22"/>
      <c r="XDQ44" s="22"/>
      <c r="XDR44" s="22"/>
      <c r="XDS44" s="22"/>
      <c r="XDT44" s="22"/>
      <c r="XDU44" s="22"/>
      <c r="XDV44" s="22"/>
      <c r="XDW44" s="22"/>
      <c r="XDX44" s="22"/>
      <c r="XDY44" s="22"/>
      <c r="XDZ44" s="22"/>
      <c r="XEA44" s="22"/>
      <c r="XEB44" s="22"/>
      <c r="XEC44" s="22"/>
      <c r="XED44" s="22"/>
      <c r="XEE44" s="22"/>
      <c r="XEF44" s="22"/>
      <c r="XEG44" s="22"/>
      <c r="XEH44" s="22"/>
      <c r="XEI44" s="22"/>
      <c r="XEJ44" s="22"/>
      <c r="XEK44" s="22"/>
      <c r="XEL44" s="22"/>
      <c r="XEM44" s="22"/>
      <c r="XEN44" s="22"/>
      <c r="XEO44" s="22"/>
      <c r="XEP44" s="22"/>
      <c r="XEQ44" s="22"/>
      <c r="XER44" s="22"/>
      <c r="XES44" s="22"/>
      <c r="XET44" s="22"/>
      <c r="XEU44" s="22"/>
      <c r="XEV44" s="22"/>
      <c r="XEW44" s="22"/>
      <c r="XEX44" s="22"/>
      <c r="XEY44" s="22"/>
      <c r="XEZ44" s="22"/>
      <c r="XFA44" s="22"/>
      <c r="XFB44" s="22"/>
      <c r="XFC44" s="22"/>
    </row>
    <row r="45" spans="1:16383" ht="13.9" customHeight="1" x14ac:dyDescent="0.25">
      <c r="A45" s="28">
        <v>20</v>
      </c>
      <c r="B45" s="78" t="s">
        <v>205</v>
      </c>
      <c r="C45" s="28" t="s">
        <v>206</v>
      </c>
      <c r="D45" s="29" t="s">
        <v>315</v>
      </c>
      <c r="E45" s="100" t="s">
        <v>356</v>
      </c>
      <c r="F45" s="73" t="s">
        <v>157</v>
      </c>
      <c r="G45" s="32" t="str">
        <f>IFERROR(VLOOKUP(F45,'Referencia PT'!D:F,2,FALSE),"-")</f>
        <v>Serviço Mensal</v>
      </c>
      <c r="H45" s="28"/>
      <c r="I45" s="30"/>
      <c r="J45" s="33">
        <f>IFERROR(VLOOKUP(F45,'Referencia PT'!D:F,3,FALSE),"0")</f>
        <v>1800</v>
      </c>
      <c r="K45" s="28">
        <v>31</v>
      </c>
      <c r="L45" s="34">
        <f t="shared" si="0"/>
        <v>1800</v>
      </c>
    </row>
    <row r="46" spans="1:16383" ht="14.25" customHeight="1" x14ac:dyDescent="0.25">
      <c r="A46" s="28"/>
      <c r="B46" s="78" t="s">
        <v>207</v>
      </c>
      <c r="C46" s="28" t="s">
        <v>208</v>
      </c>
      <c r="D46" s="29" t="s">
        <v>316</v>
      </c>
      <c r="E46" s="100" t="s">
        <v>356</v>
      </c>
      <c r="F46" s="73" t="s">
        <v>155</v>
      </c>
      <c r="G46" s="32" t="str">
        <f>IFERROR(VLOOKUP(F46,'Referencia PT'!D:F,2,FALSE),"-")</f>
        <v>Serviço Mensal</v>
      </c>
      <c r="H46" s="28" t="s">
        <v>10</v>
      </c>
      <c r="I46" s="30">
        <v>45293</v>
      </c>
      <c r="J46" s="33">
        <f>IFERROR(VLOOKUP(F46,'Referencia PT'!D:F,3,FALSE),"0")</f>
        <v>2000</v>
      </c>
      <c r="K46" s="28">
        <v>31</v>
      </c>
      <c r="L46" s="34">
        <f t="shared" si="0"/>
        <v>2000</v>
      </c>
    </row>
    <row r="47" spans="1:16383" ht="14.25" customHeight="1" x14ac:dyDescent="0.25">
      <c r="A47" s="28"/>
      <c r="B47" s="78" t="s">
        <v>207</v>
      </c>
      <c r="C47" s="28" t="s">
        <v>208</v>
      </c>
      <c r="D47" s="29" t="s">
        <v>316</v>
      </c>
      <c r="E47" s="100" t="s">
        <v>356</v>
      </c>
      <c r="F47" s="73" t="s">
        <v>362</v>
      </c>
      <c r="G47" s="32" t="str">
        <f>IFERROR(VLOOKUP(F47,'Referencia PT'!D:F,2,FALSE),"-")</f>
        <v>Demanda</v>
      </c>
      <c r="H47" s="28" t="s">
        <v>10</v>
      </c>
      <c r="I47" s="30">
        <v>45293</v>
      </c>
      <c r="J47" s="33">
        <f>IFERROR(VLOOKUP(F47,'Referencia PT'!D:F,3,FALSE),"0")</f>
        <v>67</v>
      </c>
      <c r="K47" s="28">
        <v>12</v>
      </c>
      <c r="L47" s="34">
        <f t="shared" si="0"/>
        <v>804</v>
      </c>
    </row>
    <row r="48" spans="1:16383" ht="14.25" customHeight="1" x14ac:dyDescent="0.25">
      <c r="A48" s="28">
        <v>24</v>
      </c>
      <c r="B48" s="78" t="s">
        <v>209</v>
      </c>
      <c r="C48" s="28" t="s">
        <v>210</v>
      </c>
      <c r="D48" s="29" t="s">
        <v>317</v>
      </c>
      <c r="E48" s="100" t="s">
        <v>356</v>
      </c>
      <c r="F48" s="31" t="s">
        <v>157</v>
      </c>
      <c r="G48" s="32" t="str">
        <f>IFERROR(VLOOKUP(F48,'Referencia PT'!D:F,2,FALSE),"-")</f>
        <v>Serviço Mensal</v>
      </c>
      <c r="H48" s="28" t="s">
        <v>10</v>
      </c>
      <c r="I48" s="30">
        <v>45293</v>
      </c>
      <c r="J48" s="33">
        <f>IFERROR(VLOOKUP(F48,'Referencia PT'!D:F,3,FALSE),"0")</f>
        <v>1800</v>
      </c>
      <c r="K48" s="28">
        <v>31</v>
      </c>
      <c r="L48" s="34">
        <f t="shared" si="0"/>
        <v>1800</v>
      </c>
    </row>
    <row r="49" spans="1:14" ht="14.25" customHeight="1" x14ac:dyDescent="0.25">
      <c r="A49" s="28">
        <v>24</v>
      </c>
      <c r="B49" s="78" t="s">
        <v>209</v>
      </c>
      <c r="C49" s="28" t="s">
        <v>210</v>
      </c>
      <c r="D49" s="29" t="s">
        <v>317</v>
      </c>
      <c r="E49" s="100" t="s">
        <v>356</v>
      </c>
      <c r="F49" s="31" t="s">
        <v>363</v>
      </c>
      <c r="G49" s="32" t="str">
        <f>IFERROR(VLOOKUP(F49,'Referencia PT'!D:F,2,FALSE),"-")</f>
        <v>Demanda</v>
      </c>
      <c r="H49" s="28" t="s">
        <v>10</v>
      </c>
      <c r="I49" s="30">
        <v>45293</v>
      </c>
      <c r="J49" s="33">
        <f>IFERROR(VLOOKUP(F49,'Referencia PT'!D:F,3,FALSE),"0")</f>
        <v>60</v>
      </c>
      <c r="K49" s="28">
        <v>15</v>
      </c>
      <c r="L49" s="34">
        <f t="shared" ref="L49:L81" si="3">IF(G49="SERVIÇO MENSAL",((J49/31)*K49),(J49*K49))</f>
        <v>900</v>
      </c>
    </row>
    <row r="50" spans="1:14" ht="14.25" customHeight="1" x14ac:dyDescent="0.25">
      <c r="A50" s="28">
        <v>24</v>
      </c>
      <c r="B50" s="78" t="s">
        <v>211</v>
      </c>
      <c r="C50" s="28" t="s">
        <v>212</v>
      </c>
      <c r="D50" s="29" t="s">
        <v>318</v>
      </c>
      <c r="E50" s="100" t="s">
        <v>357</v>
      </c>
      <c r="F50" s="73" t="s">
        <v>151</v>
      </c>
      <c r="G50" s="32" t="str">
        <f>IFERROR(VLOOKUP(F50,'Referencia PT'!D:F,2,FALSE),"-")</f>
        <v>Serviço Mensal</v>
      </c>
      <c r="H50" s="28" t="s">
        <v>10</v>
      </c>
      <c r="I50" s="30">
        <v>45293</v>
      </c>
      <c r="J50" s="33">
        <f>IFERROR(VLOOKUP(F50,'Referencia PT'!D:F,3,FALSE),"0")</f>
        <v>2600</v>
      </c>
      <c r="K50" s="28">
        <v>31</v>
      </c>
      <c r="L50" s="34">
        <f t="shared" si="3"/>
        <v>2600</v>
      </c>
    </row>
    <row r="51" spans="1:14" ht="14.25" customHeight="1" x14ac:dyDescent="0.25">
      <c r="A51" s="28">
        <v>24</v>
      </c>
      <c r="B51" s="78" t="s">
        <v>211</v>
      </c>
      <c r="C51" s="28" t="s">
        <v>212</v>
      </c>
      <c r="D51" s="29" t="s">
        <v>318</v>
      </c>
      <c r="E51" s="100" t="s">
        <v>357</v>
      </c>
      <c r="F51" s="73" t="s">
        <v>358</v>
      </c>
      <c r="G51" s="32" t="str">
        <f>IFERROR(VLOOKUP(F51,'Referencia PT'!D:F,2,FALSE),"-")</f>
        <v>Demanda</v>
      </c>
      <c r="H51" s="28" t="s">
        <v>10</v>
      </c>
      <c r="I51" s="30">
        <v>45293</v>
      </c>
      <c r="J51" s="33">
        <f>IFERROR(VLOOKUP(F51,'Referencia PT'!D:F,3,FALSE),"0")</f>
        <v>87</v>
      </c>
      <c r="K51" s="28">
        <v>5</v>
      </c>
      <c r="L51" s="34">
        <f t="shared" si="3"/>
        <v>435</v>
      </c>
    </row>
    <row r="52" spans="1:14" ht="13.9" customHeight="1" x14ac:dyDescent="0.25">
      <c r="A52" s="28">
        <v>25</v>
      </c>
      <c r="B52" s="78" t="s">
        <v>213</v>
      </c>
      <c r="C52" s="28" t="s">
        <v>214</v>
      </c>
      <c r="D52" s="29" t="s">
        <v>319</v>
      </c>
      <c r="E52" s="100" t="s">
        <v>356</v>
      </c>
      <c r="F52" s="73" t="s">
        <v>157</v>
      </c>
      <c r="G52" s="32" t="str">
        <f>IFERROR(VLOOKUP(F52,'Referencia PT'!D:F,2,FALSE),"-")</f>
        <v>Serviço Mensal</v>
      </c>
      <c r="H52" s="28" t="s">
        <v>10</v>
      </c>
      <c r="I52" s="37">
        <v>45293</v>
      </c>
      <c r="J52" s="33">
        <f>IFERROR(VLOOKUP(F52,'Referencia PT'!D:F,3,FALSE),"0")</f>
        <v>1800</v>
      </c>
      <c r="K52" s="28">
        <v>31</v>
      </c>
      <c r="L52" s="34">
        <f t="shared" si="3"/>
        <v>1800</v>
      </c>
    </row>
    <row r="53" spans="1:14" ht="13.9" customHeight="1" x14ac:dyDescent="0.25">
      <c r="A53" s="28">
        <v>25</v>
      </c>
      <c r="B53" s="78" t="s">
        <v>215</v>
      </c>
      <c r="C53" s="28" t="s">
        <v>216</v>
      </c>
      <c r="D53" s="29" t="s">
        <v>320</v>
      </c>
      <c r="E53" s="100" t="s">
        <v>357</v>
      </c>
      <c r="F53" s="73" t="s">
        <v>141</v>
      </c>
      <c r="G53" s="32" t="str">
        <f>IFERROR(VLOOKUP(F53,'Referencia PT'!D:F,2,FALSE),"-")</f>
        <v>Serviço Mensal</v>
      </c>
      <c r="H53" s="28" t="s">
        <v>10</v>
      </c>
      <c r="I53" s="37">
        <v>45293</v>
      </c>
      <c r="J53" s="33">
        <f>IFERROR(VLOOKUP(F53,'Referencia PT'!D:F,3,FALSE),"0")</f>
        <v>3300</v>
      </c>
      <c r="K53" s="28">
        <v>31</v>
      </c>
      <c r="L53" s="34">
        <f t="shared" si="3"/>
        <v>3300</v>
      </c>
      <c r="N53" s="36"/>
    </row>
    <row r="54" spans="1:14" ht="13.9" customHeight="1" x14ac:dyDescent="0.25">
      <c r="A54" s="28">
        <v>27</v>
      </c>
      <c r="B54" s="78" t="s">
        <v>217</v>
      </c>
      <c r="C54" s="28" t="s">
        <v>218</v>
      </c>
      <c r="D54" s="29" t="s">
        <v>321</v>
      </c>
      <c r="E54" s="100" t="s">
        <v>356</v>
      </c>
      <c r="F54" s="31" t="s">
        <v>156</v>
      </c>
      <c r="G54" s="32" t="str">
        <f>IFERROR(VLOOKUP(F54,'Referencia PT'!D:F,2,FALSE),"-")</f>
        <v>Serviço Mensal</v>
      </c>
      <c r="H54" s="28" t="s">
        <v>10</v>
      </c>
      <c r="I54" s="37">
        <v>45293</v>
      </c>
      <c r="J54" s="33">
        <f>IFERROR(VLOOKUP(F54,'Referencia PT'!D:F,3,FALSE),"0")</f>
        <v>2200</v>
      </c>
      <c r="K54" s="28">
        <v>31</v>
      </c>
      <c r="L54" s="34">
        <f t="shared" si="3"/>
        <v>2200</v>
      </c>
    </row>
    <row r="55" spans="1:14" ht="13.9" customHeight="1" x14ac:dyDescent="0.25">
      <c r="A55" s="28"/>
      <c r="B55" s="78" t="s">
        <v>219</v>
      </c>
      <c r="C55" s="28" t="s">
        <v>220</v>
      </c>
      <c r="D55" s="29" t="s">
        <v>322</v>
      </c>
      <c r="E55" s="100" t="s">
        <v>356</v>
      </c>
      <c r="F55" s="73" t="s">
        <v>157</v>
      </c>
      <c r="G55" s="32" t="str">
        <f>IFERROR(VLOOKUP(F55,'Referencia PT'!D:F,2,FALSE),"-")</f>
        <v>Serviço Mensal</v>
      </c>
      <c r="H55" s="28" t="s">
        <v>10</v>
      </c>
      <c r="I55" s="37">
        <v>45293</v>
      </c>
      <c r="J55" s="33">
        <f>IFERROR(VLOOKUP(F55,'Referencia PT'!D:F,3,FALSE),"0")</f>
        <v>1800</v>
      </c>
      <c r="K55" s="28">
        <v>31</v>
      </c>
      <c r="L55" s="34">
        <f t="shared" si="3"/>
        <v>1800</v>
      </c>
    </row>
    <row r="56" spans="1:14" ht="13.9" customHeight="1" x14ac:dyDescent="0.25">
      <c r="A56" s="28"/>
      <c r="B56" s="78" t="s">
        <v>221</v>
      </c>
      <c r="C56" s="28" t="s">
        <v>222</v>
      </c>
      <c r="D56" s="29" t="s">
        <v>323</v>
      </c>
      <c r="E56" s="100" t="s">
        <v>356</v>
      </c>
      <c r="F56" s="73" t="s">
        <v>157</v>
      </c>
      <c r="G56" s="32" t="str">
        <f>IFERROR(VLOOKUP(F56,'Referencia PT'!D:F,2,FALSE),"-")</f>
        <v>Serviço Mensal</v>
      </c>
      <c r="H56" s="28" t="s">
        <v>10</v>
      </c>
      <c r="I56" s="30">
        <v>45293</v>
      </c>
      <c r="J56" s="33">
        <f>IFERROR(VLOOKUP(F56,'Referencia PT'!D:F,3,FALSE),"0")</f>
        <v>1800</v>
      </c>
      <c r="K56" s="28">
        <v>31</v>
      </c>
      <c r="L56" s="34">
        <f t="shared" si="3"/>
        <v>1800</v>
      </c>
    </row>
    <row r="57" spans="1:14" ht="14.25" customHeight="1" x14ac:dyDescent="0.25">
      <c r="A57" s="28"/>
      <c r="B57" s="78" t="s">
        <v>223</v>
      </c>
      <c r="C57" s="28" t="s">
        <v>224</v>
      </c>
      <c r="D57" s="29" t="s">
        <v>324</v>
      </c>
      <c r="E57" s="100" t="s">
        <v>356</v>
      </c>
      <c r="F57" s="73" t="s">
        <v>133</v>
      </c>
      <c r="G57" s="32" t="str">
        <f>IFERROR(VLOOKUP(F57,'Referencia PT'!D:F,2,FALSE),"-")</f>
        <v>Serviço Mensal</v>
      </c>
      <c r="H57" s="28" t="s">
        <v>10</v>
      </c>
      <c r="I57" s="30">
        <v>45293</v>
      </c>
      <c r="J57" s="33">
        <f>IFERROR(VLOOKUP(F57,'Referencia PT'!D:F,3,FALSE),"0")</f>
        <v>1800</v>
      </c>
      <c r="K57" s="28">
        <v>31</v>
      </c>
      <c r="L57" s="34">
        <f t="shared" si="3"/>
        <v>1800</v>
      </c>
    </row>
    <row r="58" spans="1:14" ht="14.25" customHeight="1" x14ac:dyDescent="0.25">
      <c r="A58" s="28"/>
      <c r="B58" s="78" t="s">
        <v>225</v>
      </c>
      <c r="C58" s="28" t="s">
        <v>226</v>
      </c>
      <c r="D58" s="29" t="s">
        <v>325</v>
      </c>
      <c r="E58" s="100" t="s">
        <v>357</v>
      </c>
      <c r="F58" s="73" t="s">
        <v>154</v>
      </c>
      <c r="G58" s="32" t="str">
        <f>IFERROR(VLOOKUP(F58,'Referencia PT'!D:F,2,FALSE),"-")</f>
        <v>Serviço Mensal</v>
      </c>
      <c r="H58" s="28" t="s">
        <v>10</v>
      </c>
      <c r="I58" s="30">
        <v>45293</v>
      </c>
      <c r="J58" s="33">
        <f>IFERROR(VLOOKUP(F58,'Referencia PT'!D:F,3,FALSE),"0")</f>
        <v>1800</v>
      </c>
      <c r="K58" s="28">
        <f>(31-10)+1</f>
        <v>22</v>
      </c>
      <c r="L58" s="34">
        <f t="shared" si="3"/>
        <v>1277.4193548387098</v>
      </c>
    </row>
    <row r="59" spans="1:14" ht="14.25" customHeight="1" x14ac:dyDescent="0.25">
      <c r="A59" s="28">
        <v>28</v>
      </c>
      <c r="B59" s="78" t="s">
        <v>227</v>
      </c>
      <c r="C59" s="28" t="s">
        <v>228</v>
      </c>
      <c r="D59" s="29" t="s">
        <v>326</v>
      </c>
      <c r="E59" s="100" t="s">
        <v>356</v>
      </c>
      <c r="F59" s="31" t="s">
        <v>147</v>
      </c>
      <c r="G59" s="32" t="str">
        <f>IFERROR(VLOOKUP(F59,'Referencia PT'!D:F,2,FALSE),"-")</f>
        <v>Demanda</v>
      </c>
      <c r="H59" s="28" t="s">
        <v>10</v>
      </c>
      <c r="I59" s="30">
        <v>45293</v>
      </c>
      <c r="J59" s="33">
        <f>IFERROR(VLOOKUP(F59,'Referencia PT'!D:F,3,FALSE),"0")</f>
        <v>1400</v>
      </c>
      <c r="K59" s="28">
        <v>12</v>
      </c>
      <c r="L59" s="34">
        <f t="shared" si="3"/>
        <v>16800</v>
      </c>
    </row>
    <row r="60" spans="1:14" ht="14.25" customHeight="1" x14ac:dyDescent="0.25">
      <c r="A60" s="28"/>
      <c r="B60" s="78" t="s">
        <v>229</v>
      </c>
      <c r="C60" s="28" t="s">
        <v>230</v>
      </c>
      <c r="D60" s="29" t="s">
        <v>327</v>
      </c>
      <c r="E60" s="100" t="s">
        <v>357</v>
      </c>
      <c r="F60" s="73" t="s">
        <v>142</v>
      </c>
      <c r="G60" s="32" t="str">
        <f>IFERROR(VLOOKUP(F60,'Referencia PT'!D:F,2,FALSE),"-")</f>
        <v>Serviço Mensal</v>
      </c>
      <c r="H60" s="28" t="s">
        <v>10</v>
      </c>
      <c r="I60" s="30">
        <v>45293</v>
      </c>
      <c r="J60" s="33">
        <f>IFERROR(VLOOKUP(F60,'Referencia PT'!D:F,3,FALSE),"0")</f>
        <v>4770</v>
      </c>
      <c r="K60" s="28">
        <v>31</v>
      </c>
      <c r="L60" s="34">
        <f t="shared" si="3"/>
        <v>4770</v>
      </c>
    </row>
    <row r="61" spans="1:14" ht="14.25" customHeight="1" x14ac:dyDescent="0.25">
      <c r="A61" s="28">
        <v>47</v>
      </c>
      <c r="B61" s="78" t="s">
        <v>229</v>
      </c>
      <c r="C61" s="28" t="s">
        <v>230</v>
      </c>
      <c r="D61" s="29" t="s">
        <v>327</v>
      </c>
      <c r="E61" s="100" t="s">
        <v>357</v>
      </c>
      <c r="F61" s="73" t="s">
        <v>361</v>
      </c>
      <c r="G61" s="32" t="str">
        <f>IFERROR(VLOOKUP(F61,'Referencia PT'!D:F,2,FALSE),"-")</f>
        <v>Demanda</v>
      </c>
      <c r="H61" s="28" t="s">
        <v>10</v>
      </c>
      <c r="I61" s="30">
        <v>45293</v>
      </c>
      <c r="J61" s="33">
        <f>IFERROR(VLOOKUP(F61,'Referencia PT'!D:F,3,FALSE),"0")</f>
        <v>159</v>
      </c>
      <c r="K61" s="28">
        <v>1</v>
      </c>
      <c r="L61" s="34">
        <f t="shared" si="3"/>
        <v>159</v>
      </c>
    </row>
    <row r="62" spans="1:14" ht="14.25" customHeight="1" x14ac:dyDescent="0.25">
      <c r="A62" s="28">
        <v>47</v>
      </c>
      <c r="B62" s="78" t="s">
        <v>231</v>
      </c>
      <c r="C62" s="28" t="s">
        <v>232</v>
      </c>
      <c r="D62" s="29" t="s">
        <v>328</v>
      </c>
      <c r="E62" s="100" t="s">
        <v>356</v>
      </c>
      <c r="F62" s="73" t="s">
        <v>136</v>
      </c>
      <c r="G62" s="32" t="str">
        <f>IFERROR(VLOOKUP(F62,'Referencia PT'!D:F,2,FALSE),"-")</f>
        <v>Serviço Mensal</v>
      </c>
      <c r="H62" s="28" t="s">
        <v>10</v>
      </c>
      <c r="I62" s="30">
        <v>45293</v>
      </c>
      <c r="J62" s="33">
        <f>IFERROR(VLOOKUP(F62,'Referencia PT'!D:F,3,FALSE),"0")</f>
        <v>5112</v>
      </c>
      <c r="K62" s="28">
        <v>31</v>
      </c>
      <c r="L62" s="34">
        <f t="shared" si="3"/>
        <v>5112</v>
      </c>
    </row>
    <row r="63" spans="1:14" ht="13.9" customHeight="1" x14ac:dyDescent="0.25">
      <c r="A63" s="39">
        <v>30</v>
      </c>
      <c r="B63" s="78" t="s">
        <v>233</v>
      </c>
      <c r="C63" s="28" t="s">
        <v>234</v>
      </c>
      <c r="D63" s="29" t="s">
        <v>329</v>
      </c>
      <c r="E63" s="100" t="s">
        <v>356</v>
      </c>
      <c r="F63" s="73" t="s">
        <v>139</v>
      </c>
      <c r="G63" s="32" t="str">
        <f>IFERROR(VLOOKUP(F63,'Referencia PT'!D:F,2,FALSE),"-")</f>
        <v>Serviço Mensal</v>
      </c>
      <c r="H63" s="28" t="s">
        <v>11</v>
      </c>
      <c r="I63" s="30">
        <v>45293</v>
      </c>
      <c r="J63" s="33">
        <f>IFERROR(VLOOKUP(F63,'Referencia PT'!D:F,3,FALSE),"0")</f>
        <v>6000</v>
      </c>
      <c r="K63" s="28">
        <v>31</v>
      </c>
      <c r="L63" s="34">
        <f t="shared" si="3"/>
        <v>6000</v>
      </c>
    </row>
    <row r="64" spans="1:14" ht="14.25" customHeight="1" x14ac:dyDescent="0.25">
      <c r="A64" s="28">
        <v>1</v>
      </c>
      <c r="B64" s="77" t="s">
        <v>233</v>
      </c>
      <c r="C64" s="39" t="s">
        <v>234</v>
      </c>
      <c r="D64" s="35" t="s">
        <v>329</v>
      </c>
      <c r="E64" s="72" t="s">
        <v>356</v>
      </c>
      <c r="F64" s="117" t="s">
        <v>147</v>
      </c>
      <c r="G64" s="41" t="str">
        <f>IFERROR(VLOOKUP(F64,'Referencia PT'!D:F,2,FALSE),"-")</f>
        <v>Demanda</v>
      </c>
      <c r="H64" s="39" t="s">
        <v>11</v>
      </c>
      <c r="I64" s="40">
        <v>45293</v>
      </c>
      <c r="J64" s="33">
        <f>IFERROR(VLOOKUP(F64,'Referencia PT'!D:F,3,FALSE),"0")</f>
        <v>1400</v>
      </c>
      <c r="K64" s="28">
        <v>9</v>
      </c>
      <c r="L64" s="34">
        <f t="shared" si="3"/>
        <v>12600</v>
      </c>
    </row>
    <row r="65" spans="1:13" ht="13.9" customHeight="1" x14ac:dyDescent="0.25">
      <c r="A65" s="28">
        <v>1</v>
      </c>
      <c r="B65" s="77" t="s">
        <v>235</v>
      </c>
      <c r="C65" s="39" t="s">
        <v>236</v>
      </c>
      <c r="D65" s="35" t="s">
        <v>330</v>
      </c>
      <c r="E65" s="72" t="s">
        <v>357</v>
      </c>
      <c r="F65" s="31" t="s">
        <v>138</v>
      </c>
      <c r="G65" s="41" t="str">
        <f>IFERROR(VLOOKUP(F65,'Referencia PT'!D:F,2,FALSE),"-")</f>
        <v>Serviço Mensal</v>
      </c>
      <c r="H65" s="39" t="s">
        <v>11</v>
      </c>
      <c r="I65" s="40">
        <v>45293</v>
      </c>
      <c r="J65" s="33">
        <f>IFERROR(VLOOKUP(F65,'Referencia PT'!D:F,3,FALSE),"0")</f>
        <v>5200</v>
      </c>
      <c r="K65" s="28">
        <v>31</v>
      </c>
      <c r="L65" s="34">
        <f t="shared" si="3"/>
        <v>5200</v>
      </c>
    </row>
    <row r="66" spans="1:13" ht="14.25" customHeight="1" x14ac:dyDescent="0.25">
      <c r="A66" s="28">
        <v>1</v>
      </c>
      <c r="B66" s="77" t="s">
        <v>235</v>
      </c>
      <c r="C66" s="39" t="s">
        <v>236</v>
      </c>
      <c r="D66" s="35" t="s">
        <v>330</v>
      </c>
      <c r="E66" s="72" t="s">
        <v>357</v>
      </c>
      <c r="F66" s="31" t="s">
        <v>359</v>
      </c>
      <c r="G66" s="41" t="str">
        <f>IFERROR(VLOOKUP(F66,'Referencia PT'!D:F,2,FALSE),"-")</f>
        <v>Demanda</v>
      </c>
      <c r="H66" s="39" t="s">
        <v>11</v>
      </c>
      <c r="I66" s="40">
        <v>45293</v>
      </c>
      <c r="J66" s="33">
        <f>IFERROR(VLOOKUP(F66,'Referencia PT'!D:F,3,FALSE),"0")</f>
        <v>190</v>
      </c>
      <c r="K66" s="28">
        <v>2</v>
      </c>
      <c r="L66" s="34">
        <f t="shared" si="3"/>
        <v>380</v>
      </c>
    </row>
    <row r="67" spans="1:13" ht="14.25" customHeight="1" x14ac:dyDescent="0.25">
      <c r="A67" s="28">
        <v>1</v>
      </c>
      <c r="B67" s="78" t="s">
        <v>237</v>
      </c>
      <c r="C67" s="28" t="s">
        <v>238</v>
      </c>
      <c r="D67" s="29" t="s">
        <v>331</v>
      </c>
      <c r="E67" s="100" t="s">
        <v>356</v>
      </c>
      <c r="F67" s="31" t="s">
        <v>145</v>
      </c>
      <c r="G67" s="32" t="str">
        <f>IFERROR(VLOOKUP(F67,'Referencia PT'!D:F,2,FALSE),"-")</f>
        <v>Serviço Mensal</v>
      </c>
      <c r="H67" s="28" t="s">
        <v>10</v>
      </c>
      <c r="I67" s="30">
        <v>45293</v>
      </c>
      <c r="J67" s="33">
        <f>IFERROR(VLOOKUP(F67,'Referencia PT'!D:F,3,FALSE),"0")</f>
        <v>4770</v>
      </c>
      <c r="K67" s="28">
        <v>31</v>
      </c>
      <c r="L67" s="34">
        <f t="shared" si="3"/>
        <v>4770</v>
      </c>
    </row>
    <row r="68" spans="1:13" ht="14.25" customHeight="1" x14ac:dyDescent="0.25">
      <c r="A68" s="28">
        <v>1</v>
      </c>
      <c r="B68" s="78" t="s">
        <v>239</v>
      </c>
      <c r="C68" s="28" t="s">
        <v>240</v>
      </c>
      <c r="D68" s="29" t="s">
        <v>332</v>
      </c>
      <c r="E68" s="100" t="s">
        <v>357</v>
      </c>
      <c r="F68" s="31" t="s">
        <v>153</v>
      </c>
      <c r="G68" s="32" t="str">
        <f>IFERROR(VLOOKUP(F68,'Referencia PT'!D:F,2,FALSE),"-")</f>
        <v>Serviço Mensal</v>
      </c>
      <c r="H68" s="28" t="s">
        <v>10</v>
      </c>
      <c r="I68" s="30">
        <v>45293</v>
      </c>
      <c r="J68" s="33">
        <f>IFERROR(VLOOKUP(F68,'Referencia PT'!D:F,3,FALSE),"0")</f>
        <v>5066.16</v>
      </c>
      <c r="K68" s="28">
        <v>31</v>
      </c>
      <c r="L68" s="34">
        <f t="shared" si="3"/>
        <v>5066.16</v>
      </c>
    </row>
    <row r="69" spans="1:13" ht="13.9" customHeight="1" x14ac:dyDescent="0.25">
      <c r="A69" s="28"/>
      <c r="B69" s="78" t="s">
        <v>241</v>
      </c>
      <c r="C69" s="28" t="s">
        <v>242</v>
      </c>
      <c r="D69" s="29" t="s">
        <v>333</v>
      </c>
      <c r="E69" s="100" t="s">
        <v>357</v>
      </c>
      <c r="F69" s="31" t="s">
        <v>140</v>
      </c>
      <c r="G69" s="32" t="str">
        <f>IFERROR(VLOOKUP(F69,'Referencia PT'!D:F,2,FALSE),"-")</f>
        <v>Serviço Mensal</v>
      </c>
      <c r="H69" s="28" t="s">
        <v>10</v>
      </c>
      <c r="I69" s="30">
        <v>45293</v>
      </c>
      <c r="J69" s="33">
        <f>IFERROR(VLOOKUP(F69,'Referencia PT'!D:F,3,FALSE),"0")</f>
        <v>4770</v>
      </c>
      <c r="K69" s="28">
        <v>31</v>
      </c>
      <c r="L69" s="34">
        <f t="shared" si="3"/>
        <v>4770</v>
      </c>
    </row>
    <row r="70" spans="1:13" ht="14.25" customHeight="1" x14ac:dyDescent="0.25">
      <c r="A70" s="28">
        <v>38</v>
      </c>
      <c r="B70" s="78" t="s">
        <v>243</v>
      </c>
      <c r="C70" s="28" t="s">
        <v>244</v>
      </c>
      <c r="D70" s="29" t="s">
        <v>334</v>
      </c>
      <c r="E70" s="100" t="s">
        <v>357</v>
      </c>
      <c r="F70" s="31" t="s">
        <v>134</v>
      </c>
      <c r="G70" s="32" t="str">
        <f>IFERROR(VLOOKUP(F70,'Referencia PT'!D:F,2,FALSE),"-")</f>
        <v>Serviço Mensal</v>
      </c>
      <c r="H70" s="28" t="s">
        <v>10</v>
      </c>
      <c r="I70" s="30">
        <v>45293</v>
      </c>
      <c r="J70" s="33">
        <f>IFERROR(VLOOKUP(F70,'Referencia PT'!D:F,3,FALSE),"0")</f>
        <v>3300</v>
      </c>
      <c r="K70" s="28">
        <f>(31-7)+1</f>
        <v>25</v>
      </c>
      <c r="L70" s="34">
        <f t="shared" si="3"/>
        <v>2661.2903225806454</v>
      </c>
    </row>
    <row r="71" spans="1:13" ht="14.25" customHeight="1" x14ac:dyDescent="0.25">
      <c r="A71" s="28">
        <v>40</v>
      </c>
      <c r="B71" s="78" t="s">
        <v>245</v>
      </c>
      <c r="C71" s="28" t="s">
        <v>246</v>
      </c>
      <c r="D71" s="29" t="s">
        <v>245</v>
      </c>
      <c r="E71" s="100" t="s">
        <v>357</v>
      </c>
      <c r="F71" s="31" t="s">
        <v>149</v>
      </c>
      <c r="G71" s="32" t="str">
        <f>IFERROR(VLOOKUP(F71,'Referencia PT'!D:F,2,FALSE),"-")</f>
        <v>Serviço Mensal</v>
      </c>
      <c r="H71" s="28" t="s">
        <v>10</v>
      </c>
      <c r="I71" s="30">
        <v>45293</v>
      </c>
      <c r="J71" s="33">
        <f>IFERROR(VLOOKUP(F71,'Referencia PT'!D:F,3,FALSE),"0")</f>
        <v>19500</v>
      </c>
      <c r="K71" s="28">
        <v>31</v>
      </c>
      <c r="L71" s="34">
        <f t="shared" si="3"/>
        <v>19500</v>
      </c>
    </row>
    <row r="72" spans="1:13" ht="14.25" customHeight="1" x14ac:dyDescent="0.25">
      <c r="A72" s="28">
        <v>40</v>
      </c>
      <c r="B72" s="29" t="s">
        <v>245</v>
      </c>
      <c r="C72" s="28" t="s">
        <v>246</v>
      </c>
      <c r="D72" s="29" t="s">
        <v>245</v>
      </c>
      <c r="E72" s="100" t="s">
        <v>356</v>
      </c>
      <c r="F72" s="31" t="s">
        <v>147</v>
      </c>
      <c r="G72" s="32" t="str">
        <f>IFERROR(VLOOKUP(F72,'Referencia PT'!D:F,2,FALSE),"-")</f>
        <v>Demanda</v>
      </c>
      <c r="H72" s="28" t="s">
        <v>10</v>
      </c>
      <c r="I72" s="30">
        <v>45293</v>
      </c>
      <c r="J72" s="33">
        <f>IFERROR(VLOOKUP(F72,'Referencia PT'!D:F,3,FALSE),"0")</f>
        <v>1400</v>
      </c>
      <c r="K72" s="28">
        <v>4</v>
      </c>
      <c r="L72" s="34">
        <f t="shared" si="3"/>
        <v>5600</v>
      </c>
    </row>
    <row r="73" spans="1:13" ht="14.25" customHeight="1" x14ac:dyDescent="0.25">
      <c r="A73" s="28">
        <v>42</v>
      </c>
      <c r="B73" s="35" t="s">
        <v>247</v>
      </c>
      <c r="C73" s="28" t="s">
        <v>248</v>
      </c>
      <c r="D73" s="29" t="s">
        <v>335</v>
      </c>
      <c r="E73" s="100" t="s">
        <v>357</v>
      </c>
      <c r="F73" s="31" t="s">
        <v>142</v>
      </c>
      <c r="G73" s="32" t="str">
        <f>IFERROR(VLOOKUP(F73,'Referencia PT'!D:F,2,FALSE),"-")</f>
        <v>Serviço Mensal</v>
      </c>
      <c r="H73" s="28" t="s">
        <v>10</v>
      </c>
      <c r="I73" s="30">
        <v>45293</v>
      </c>
      <c r="J73" s="33">
        <f>IFERROR(VLOOKUP(F73,'Referencia PT'!D:F,3,FALSE),"0")</f>
        <v>4770</v>
      </c>
      <c r="K73" s="28">
        <v>31</v>
      </c>
      <c r="L73" s="34">
        <f t="shared" si="3"/>
        <v>4770</v>
      </c>
    </row>
    <row r="74" spans="1:13" ht="14.25" customHeight="1" x14ac:dyDescent="0.25">
      <c r="A74" s="28">
        <v>42</v>
      </c>
      <c r="B74" s="35" t="s">
        <v>249</v>
      </c>
      <c r="C74" s="28" t="s">
        <v>250</v>
      </c>
      <c r="D74" s="29" t="s">
        <v>249</v>
      </c>
      <c r="E74" s="100" t="s">
        <v>357</v>
      </c>
      <c r="F74" s="31" t="s">
        <v>149</v>
      </c>
      <c r="G74" s="32" t="str">
        <f>IFERROR(VLOOKUP(F74,'Referencia PT'!D:F,2,FALSE),"-")</f>
        <v>Serviço Mensal</v>
      </c>
      <c r="H74" s="28" t="s">
        <v>10</v>
      </c>
      <c r="I74" s="30">
        <v>45293</v>
      </c>
      <c r="J74" s="33">
        <f>IFERROR(VLOOKUP(F74,'Referencia PT'!D:F,3,FALSE),"0")</f>
        <v>19500</v>
      </c>
      <c r="K74" s="28">
        <v>31</v>
      </c>
      <c r="L74" s="34">
        <f t="shared" ref="L74" si="4">IF(G74="SERVIÇO MENSAL",((J74/31)*K74),(J74*K74))</f>
        <v>19500</v>
      </c>
    </row>
    <row r="75" spans="1:13" ht="14.25" customHeight="1" x14ac:dyDescent="0.25">
      <c r="A75" s="28">
        <v>42</v>
      </c>
      <c r="B75" s="35" t="s">
        <v>249</v>
      </c>
      <c r="C75" s="28" t="s">
        <v>250</v>
      </c>
      <c r="D75" s="29" t="s">
        <v>249</v>
      </c>
      <c r="E75" s="100" t="s">
        <v>357</v>
      </c>
      <c r="F75" s="31" t="s">
        <v>149</v>
      </c>
      <c r="G75" s="32" t="str">
        <f>IFERROR(VLOOKUP(F75,'Referencia PT'!D:F,2,FALSE),"-")</f>
        <v>Serviço Mensal</v>
      </c>
      <c r="H75" s="28" t="s">
        <v>10</v>
      </c>
      <c r="I75" s="30">
        <v>45293</v>
      </c>
      <c r="J75" s="33">
        <f>IFERROR(VLOOKUP(F75,'Referencia PT'!D:F,3,FALSE),"0")</f>
        <v>19500</v>
      </c>
      <c r="K75" s="28">
        <v>1</v>
      </c>
      <c r="L75" s="34">
        <f>IF(G75="SERVIÇO MENSAL",((J75/30)*K75),(J75*K75))+(19500*10%)</f>
        <v>2600</v>
      </c>
    </row>
    <row r="76" spans="1:13" ht="14.25" customHeight="1" x14ac:dyDescent="0.25">
      <c r="A76" s="28">
        <v>42</v>
      </c>
      <c r="B76" s="35" t="s">
        <v>251</v>
      </c>
      <c r="C76" s="28" t="s">
        <v>252</v>
      </c>
      <c r="D76" s="29" t="s">
        <v>336</v>
      </c>
      <c r="E76" s="100" t="s">
        <v>356</v>
      </c>
      <c r="F76" s="73" t="s">
        <v>147</v>
      </c>
      <c r="G76" s="32" t="str">
        <f>IFERROR(VLOOKUP(F76,'Referencia PT'!D:F,2,FALSE),"-")</f>
        <v>Demanda</v>
      </c>
      <c r="H76" s="28" t="s">
        <v>10</v>
      </c>
      <c r="I76" s="30">
        <v>45293</v>
      </c>
      <c r="J76" s="33">
        <f>IFERROR(VLOOKUP(F76,'Referencia PT'!D:F,3,FALSE),"0")</f>
        <v>1400</v>
      </c>
      <c r="K76" s="28">
        <v>5</v>
      </c>
      <c r="L76" s="34">
        <f t="shared" si="3"/>
        <v>7000</v>
      </c>
    </row>
    <row r="77" spans="1:13" ht="13.9" customHeight="1" x14ac:dyDescent="0.25">
      <c r="A77" s="28">
        <v>42</v>
      </c>
      <c r="B77" s="35" t="s">
        <v>253</v>
      </c>
      <c r="C77" s="28" t="s">
        <v>254</v>
      </c>
      <c r="D77" s="29" t="s">
        <v>337</v>
      </c>
      <c r="E77" s="100" t="s">
        <v>356</v>
      </c>
      <c r="F77" s="73" t="s">
        <v>152</v>
      </c>
      <c r="G77" s="32" t="str">
        <f>IFERROR(VLOOKUP(F77,'Referencia PT'!D:F,2,FALSE),"-")</f>
        <v>Serviço Mensal</v>
      </c>
      <c r="H77" s="28" t="s">
        <v>10</v>
      </c>
      <c r="I77" s="30">
        <v>45293</v>
      </c>
      <c r="J77" s="33">
        <f>IFERROR(VLOOKUP(F77,'Referencia PT'!D:F,3,FALSE),"0")</f>
        <v>3300</v>
      </c>
      <c r="K77" s="28">
        <v>31</v>
      </c>
      <c r="L77" s="34">
        <f t="shared" si="3"/>
        <v>3300</v>
      </c>
    </row>
    <row r="78" spans="1:13" ht="14.25" customHeight="1" x14ac:dyDescent="0.25">
      <c r="A78" s="28">
        <v>24</v>
      </c>
      <c r="B78" s="35" t="s">
        <v>255</v>
      </c>
      <c r="C78" s="28" t="s">
        <v>256</v>
      </c>
      <c r="D78" s="29" t="s">
        <v>338</v>
      </c>
      <c r="E78" s="100" t="s">
        <v>357</v>
      </c>
      <c r="F78" s="73" t="s">
        <v>145</v>
      </c>
      <c r="G78" s="32" t="str">
        <f>IFERROR(VLOOKUP(F78,'Referencia PT'!D:F,2,FALSE),"-")</f>
        <v>Serviço Mensal</v>
      </c>
      <c r="H78" s="28" t="s">
        <v>10</v>
      </c>
      <c r="I78" s="30">
        <v>45293</v>
      </c>
      <c r="J78" s="33">
        <f>IFERROR(VLOOKUP(F78,'Referencia PT'!D:F,3,FALSE),"0")</f>
        <v>4770</v>
      </c>
      <c r="K78" s="28">
        <v>31</v>
      </c>
      <c r="L78" s="34">
        <f t="shared" si="3"/>
        <v>4770</v>
      </c>
    </row>
    <row r="79" spans="1:13" ht="14.25" customHeight="1" x14ac:dyDescent="0.25">
      <c r="A79" s="28">
        <v>24</v>
      </c>
      <c r="B79" s="29" t="s">
        <v>257</v>
      </c>
      <c r="C79" s="28" t="s">
        <v>258</v>
      </c>
      <c r="D79" s="29" t="s">
        <v>339</v>
      </c>
      <c r="E79" s="100" t="s">
        <v>356</v>
      </c>
      <c r="F79" s="73" t="s">
        <v>144</v>
      </c>
      <c r="G79" s="32" t="str">
        <f>IFERROR(VLOOKUP(F79,'Referencia PT'!D:F,2,FALSE),"-")</f>
        <v>Serviço Mensal</v>
      </c>
      <c r="H79" s="28" t="s">
        <v>10</v>
      </c>
      <c r="I79" s="30">
        <v>45293</v>
      </c>
      <c r="J79" s="33">
        <f>IFERROR(VLOOKUP(F79,'Referencia PT'!D:F,3,FALSE),"0")</f>
        <v>5200</v>
      </c>
      <c r="K79" s="28">
        <v>31</v>
      </c>
      <c r="L79" s="34">
        <f t="shared" si="3"/>
        <v>5200</v>
      </c>
    </row>
    <row r="80" spans="1:13" ht="14.25" customHeight="1" x14ac:dyDescent="0.25">
      <c r="A80" s="28">
        <v>24</v>
      </c>
      <c r="B80" s="78" t="s">
        <v>259</v>
      </c>
      <c r="C80" s="28" t="s">
        <v>260</v>
      </c>
      <c r="D80" s="29" t="s">
        <v>340</v>
      </c>
      <c r="E80" s="100" t="s">
        <v>356</v>
      </c>
      <c r="F80" s="73" t="s">
        <v>147</v>
      </c>
      <c r="G80" s="32" t="str">
        <f>IFERROR(VLOOKUP(F80,'Referencia PT'!D:F,2,FALSE),"-")</f>
        <v>Demanda</v>
      </c>
      <c r="H80" s="28" t="s">
        <v>10</v>
      </c>
      <c r="I80" s="37">
        <v>45293</v>
      </c>
      <c r="J80" s="33">
        <f>IFERROR(VLOOKUP(F80,'Referencia PT'!D:F,3,FALSE),"0")</f>
        <v>1400</v>
      </c>
      <c r="K80" s="28">
        <v>11</v>
      </c>
      <c r="L80" s="34">
        <f t="shared" si="3"/>
        <v>15400</v>
      </c>
      <c r="M80" s="36"/>
    </row>
    <row r="81" spans="1:14" ht="13.9" customHeight="1" x14ac:dyDescent="0.25">
      <c r="A81" s="28">
        <v>24</v>
      </c>
      <c r="B81" s="78" t="s">
        <v>261</v>
      </c>
      <c r="C81" s="28" t="s">
        <v>262</v>
      </c>
      <c r="D81" s="29" t="s">
        <v>341</v>
      </c>
      <c r="E81" s="100" t="s">
        <v>357</v>
      </c>
      <c r="F81" s="73" t="s">
        <v>142</v>
      </c>
      <c r="G81" s="32" t="str">
        <f>IFERROR(VLOOKUP(F81,'Referencia PT'!D:F,2,FALSE),"-")</f>
        <v>Serviço Mensal</v>
      </c>
      <c r="H81" s="28" t="s">
        <v>10</v>
      </c>
      <c r="I81" s="37">
        <v>45293</v>
      </c>
      <c r="J81" s="33">
        <f>IFERROR(VLOOKUP(F81,'Referencia PT'!D:F,3,FALSE),"0")</f>
        <v>4770</v>
      </c>
      <c r="K81" s="28">
        <v>31</v>
      </c>
      <c r="L81" s="34">
        <f t="shared" si="3"/>
        <v>4770</v>
      </c>
    </row>
    <row r="82" spans="1:14" ht="14.25" customHeight="1" x14ac:dyDescent="0.25">
      <c r="A82" s="28">
        <v>24</v>
      </c>
      <c r="B82" s="78" t="s">
        <v>263</v>
      </c>
      <c r="C82" s="28" t="s">
        <v>264</v>
      </c>
      <c r="D82" s="29" t="s">
        <v>342</v>
      </c>
      <c r="E82" s="100" t="s">
        <v>356</v>
      </c>
      <c r="F82" s="73" t="s">
        <v>147</v>
      </c>
      <c r="G82" s="32" t="str">
        <f>IFERROR(VLOOKUP(F82,'Referencia PT'!D:F,2,FALSE),"-")</f>
        <v>Demanda</v>
      </c>
      <c r="H82" s="28" t="s">
        <v>10</v>
      </c>
      <c r="I82" s="37">
        <v>45293</v>
      </c>
      <c r="J82" s="33">
        <f>IFERROR(VLOOKUP(F82,'Referencia PT'!D:F,3,FALSE),"0")</f>
        <v>1400</v>
      </c>
      <c r="K82" s="28">
        <v>4</v>
      </c>
      <c r="L82" s="34">
        <f t="shared" ref="L82:L107" si="5">IF(G82="SERVIÇO MENSAL",((J82/31)*K82),(J82*K82))</f>
        <v>5600</v>
      </c>
    </row>
    <row r="83" spans="1:14" ht="14.25" customHeight="1" x14ac:dyDescent="0.25">
      <c r="A83" s="28">
        <v>24</v>
      </c>
      <c r="B83" s="78" t="s">
        <v>265</v>
      </c>
      <c r="C83" s="28" t="s">
        <v>266</v>
      </c>
      <c r="D83" s="29" t="s">
        <v>343</v>
      </c>
      <c r="E83" s="100" t="s">
        <v>356</v>
      </c>
      <c r="F83" s="73" t="s">
        <v>147</v>
      </c>
      <c r="G83" s="32" t="str">
        <f>IFERROR(VLOOKUP(F83,'Referencia PT'!D:F,2,FALSE),"-")</f>
        <v>Demanda</v>
      </c>
      <c r="H83" s="28" t="s">
        <v>10</v>
      </c>
      <c r="I83" s="37">
        <v>45293</v>
      </c>
      <c r="J83" s="33">
        <f>IFERROR(VLOOKUP(F83,'Referencia PT'!D:F,3,FALSE),"0")</f>
        <v>1400</v>
      </c>
      <c r="K83" s="28">
        <v>5</v>
      </c>
      <c r="L83" s="34">
        <f t="shared" si="5"/>
        <v>7000</v>
      </c>
      <c r="N83" s="36"/>
    </row>
    <row r="84" spans="1:14" ht="13.9" customHeight="1" x14ac:dyDescent="0.25">
      <c r="A84" s="28">
        <v>25</v>
      </c>
      <c r="B84" s="78" t="s">
        <v>267</v>
      </c>
      <c r="C84" s="28" t="s">
        <v>268</v>
      </c>
      <c r="D84" s="29" t="s">
        <v>344</v>
      </c>
      <c r="E84" s="100" t="s">
        <v>357</v>
      </c>
      <c r="F84" s="73" t="s">
        <v>149</v>
      </c>
      <c r="G84" s="32" t="str">
        <f>IFERROR(VLOOKUP(F84,'Referencia PT'!D:F,2,FALSE),"-")</f>
        <v>Serviço Mensal</v>
      </c>
      <c r="H84" s="28" t="s">
        <v>10</v>
      </c>
      <c r="I84" s="30">
        <v>45293</v>
      </c>
      <c r="J84" s="33">
        <f>IFERROR(VLOOKUP(F84,'Referencia PT'!D:F,3,FALSE),"0")</f>
        <v>19500</v>
      </c>
      <c r="K84" s="28">
        <v>31</v>
      </c>
      <c r="L84" s="34">
        <f t="shared" si="5"/>
        <v>19500</v>
      </c>
    </row>
    <row r="85" spans="1:14" ht="13.9" customHeight="1" x14ac:dyDescent="0.25">
      <c r="A85" s="28">
        <v>27</v>
      </c>
      <c r="B85" s="78" t="s">
        <v>267</v>
      </c>
      <c r="C85" s="28" t="s">
        <v>268</v>
      </c>
      <c r="D85" s="29" t="s">
        <v>344</v>
      </c>
      <c r="E85" s="100" t="s">
        <v>356</v>
      </c>
      <c r="F85" s="73" t="s">
        <v>147</v>
      </c>
      <c r="G85" s="32" t="str">
        <f>IFERROR(VLOOKUP(F85,'Referencia PT'!D:F,2,FALSE),"-")</f>
        <v>Demanda</v>
      </c>
      <c r="H85" s="28" t="s">
        <v>10</v>
      </c>
      <c r="I85" s="30">
        <v>45293</v>
      </c>
      <c r="J85" s="33">
        <f>IFERROR(VLOOKUP(F85,'Referencia PT'!D:F,3,FALSE),"0")</f>
        <v>1400</v>
      </c>
      <c r="K85" s="28">
        <v>12</v>
      </c>
      <c r="L85" s="34">
        <f t="shared" si="5"/>
        <v>16800</v>
      </c>
    </row>
    <row r="86" spans="1:14" ht="13.9" customHeight="1" x14ac:dyDescent="0.25">
      <c r="A86" s="28"/>
      <c r="B86" s="78" t="s">
        <v>269</v>
      </c>
      <c r="C86" s="28" t="s">
        <v>270</v>
      </c>
      <c r="D86" s="29" t="s">
        <v>345</v>
      </c>
      <c r="E86" s="100" t="s">
        <v>357</v>
      </c>
      <c r="F86" s="73" t="s">
        <v>146</v>
      </c>
      <c r="G86" s="32" t="str">
        <f>IFERROR(VLOOKUP(F86,'Referencia PT'!D:F,2,FALSE),"-")</f>
        <v>Serviço Mensal</v>
      </c>
      <c r="H86" s="28" t="s">
        <v>10</v>
      </c>
      <c r="I86" s="30">
        <v>45293</v>
      </c>
      <c r="J86" s="33">
        <f>IFERROR(VLOOKUP(F86,'Referencia PT'!D:F,3,FALSE),"0")</f>
        <v>3862.16</v>
      </c>
      <c r="K86" s="28">
        <v>31</v>
      </c>
      <c r="L86" s="34">
        <f t="shared" si="5"/>
        <v>3862.16</v>
      </c>
    </row>
    <row r="87" spans="1:14" ht="13.9" customHeight="1" x14ac:dyDescent="0.25">
      <c r="A87" s="28"/>
      <c r="B87" s="78" t="s">
        <v>271</v>
      </c>
      <c r="C87" s="28" t="s">
        <v>272</v>
      </c>
      <c r="D87" s="29" t="s">
        <v>346</v>
      </c>
      <c r="E87" s="100" t="s">
        <v>356</v>
      </c>
      <c r="F87" s="31" t="s">
        <v>143</v>
      </c>
      <c r="G87" s="32" t="str">
        <f>IFERROR(VLOOKUP(F87,'Referencia PT'!D:F,2,FALSE),"-")</f>
        <v>Serviço Mensal</v>
      </c>
      <c r="H87" s="28" t="s">
        <v>10</v>
      </c>
      <c r="I87" s="30">
        <v>45293</v>
      </c>
      <c r="J87" s="33">
        <f>IFERROR(VLOOKUP(F87,'Referencia PT'!D:F,3,FALSE),"0")</f>
        <v>4950</v>
      </c>
      <c r="K87" s="28">
        <v>31</v>
      </c>
      <c r="L87" s="34">
        <f t="shared" si="5"/>
        <v>4950</v>
      </c>
    </row>
    <row r="88" spans="1:14" ht="13.9" customHeight="1" x14ac:dyDescent="0.25">
      <c r="A88" s="28"/>
      <c r="B88" s="78" t="s">
        <v>273</v>
      </c>
      <c r="C88" s="28" t="s">
        <v>274</v>
      </c>
      <c r="D88" s="29" t="s">
        <v>347</v>
      </c>
      <c r="E88" s="100" t="s">
        <v>357</v>
      </c>
      <c r="F88" s="73" t="s">
        <v>140</v>
      </c>
      <c r="G88" s="32" t="str">
        <f>IFERROR(VLOOKUP(F88,'Referencia PT'!D:F,2,FALSE),"-")</f>
        <v>Serviço Mensal</v>
      </c>
      <c r="H88" s="28" t="s">
        <v>10</v>
      </c>
      <c r="I88" s="30">
        <v>45293</v>
      </c>
      <c r="J88" s="33">
        <f>IFERROR(VLOOKUP(F88,'Referencia PT'!D:F,3,FALSE),"0")</f>
        <v>4770</v>
      </c>
      <c r="K88" s="28">
        <v>31</v>
      </c>
      <c r="L88" s="34">
        <f t="shared" si="5"/>
        <v>4770</v>
      </c>
    </row>
    <row r="89" spans="1:14" ht="14.25" customHeight="1" x14ac:dyDescent="0.25">
      <c r="A89" s="28"/>
      <c r="B89" s="78" t="s">
        <v>275</v>
      </c>
      <c r="C89" s="28" t="s">
        <v>276</v>
      </c>
      <c r="D89" s="29" t="s">
        <v>348</v>
      </c>
      <c r="E89" s="100" t="s">
        <v>357</v>
      </c>
      <c r="F89" s="73" t="s">
        <v>142</v>
      </c>
      <c r="G89" s="32" t="str">
        <f>IFERROR(VLOOKUP(F89,'Referencia PT'!D:F,2,FALSE),"-")</f>
        <v>Serviço Mensal</v>
      </c>
      <c r="H89" s="28" t="s">
        <v>10</v>
      </c>
      <c r="I89" s="30">
        <v>45293</v>
      </c>
      <c r="J89" s="33">
        <f>IFERROR(VLOOKUP(F89,'Referencia PT'!D:F,3,FALSE),"0")</f>
        <v>4770</v>
      </c>
      <c r="K89" s="28">
        <v>31</v>
      </c>
      <c r="L89" s="34">
        <f t="shared" si="5"/>
        <v>4770</v>
      </c>
    </row>
    <row r="90" spans="1:14" ht="14.25" customHeight="1" x14ac:dyDescent="0.25">
      <c r="A90" s="28"/>
      <c r="B90" s="78" t="s">
        <v>277</v>
      </c>
      <c r="C90" s="28" t="s">
        <v>278</v>
      </c>
      <c r="D90" s="29" t="s">
        <v>349</v>
      </c>
      <c r="E90" s="100" t="s">
        <v>356</v>
      </c>
      <c r="F90" s="73" t="s">
        <v>151</v>
      </c>
      <c r="G90" s="32" t="str">
        <f>IFERROR(VLOOKUP(F90,'Referencia PT'!D:F,2,FALSE),"-")</f>
        <v>Serviço Mensal</v>
      </c>
      <c r="H90" s="28" t="s">
        <v>11</v>
      </c>
      <c r="I90" s="30">
        <v>45293</v>
      </c>
      <c r="J90" s="33">
        <f>IFERROR(VLOOKUP(F90,'Referencia PT'!D:F,3,FALSE),"0")</f>
        <v>2600</v>
      </c>
      <c r="K90" s="28">
        <v>31</v>
      </c>
      <c r="L90" s="34">
        <f t="shared" si="5"/>
        <v>2600</v>
      </c>
      <c r="N90" s="36"/>
    </row>
    <row r="91" spans="1:14" ht="14.25" customHeight="1" x14ac:dyDescent="0.25">
      <c r="A91" s="28">
        <v>28</v>
      </c>
      <c r="B91" s="78" t="s">
        <v>277</v>
      </c>
      <c r="C91" s="28" t="s">
        <v>278</v>
      </c>
      <c r="D91" s="29" t="s">
        <v>349</v>
      </c>
      <c r="E91" s="100" t="s">
        <v>356</v>
      </c>
      <c r="F91" s="73" t="s">
        <v>358</v>
      </c>
      <c r="G91" s="32" t="str">
        <f>IFERROR(VLOOKUP(F91,'Referencia PT'!D:F,2,FALSE),"-")</f>
        <v>Demanda</v>
      </c>
      <c r="H91" s="28" t="s">
        <v>11</v>
      </c>
      <c r="I91" s="30">
        <v>45293</v>
      </c>
      <c r="J91" s="33">
        <f>IFERROR(VLOOKUP(F91,'Referencia PT'!D:F,3,FALSE),"0")</f>
        <v>87</v>
      </c>
      <c r="K91" s="126">
        <v>4</v>
      </c>
      <c r="L91" s="34">
        <f t="shared" si="5"/>
        <v>348</v>
      </c>
    </row>
    <row r="92" spans="1:14" ht="14.25" customHeight="1" x14ac:dyDescent="0.25">
      <c r="A92" s="28"/>
      <c r="B92" s="77" t="s">
        <v>279</v>
      </c>
      <c r="C92" s="39" t="s">
        <v>280</v>
      </c>
      <c r="D92" s="35" t="s">
        <v>350</v>
      </c>
      <c r="E92" s="72" t="s">
        <v>357</v>
      </c>
      <c r="F92" s="117" t="s">
        <v>142</v>
      </c>
      <c r="G92" s="41" t="str">
        <f>IFERROR(VLOOKUP(F92,'Referencia PT'!D:F,2,FALSE),"-")</f>
        <v>Serviço Mensal</v>
      </c>
      <c r="H92" s="39" t="s">
        <v>11</v>
      </c>
      <c r="I92" s="40">
        <v>45293</v>
      </c>
      <c r="J92" s="33">
        <f>IFERROR(VLOOKUP(F92,'Referencia PT'!D:F,3,FALSE),"0")</f>
        <v>4770</v>
      </c>
      <c r="K92" s="28">
        <v>31</v>
      </c>
      <c r="L92" s="34">
        <f t="shared" si="5"/>
        <v>4770</v>
      </c>
    </row>
    <row r="93" spans="1:14" ht="14.25" customHeight="1" x14ac:dyDescent="0.25">
      <c r="A93" s="28">
        <v>47</v>
      </c>
      <c r="B93" s="77" t="s">
        <v>281</v>
      </c>
      <c r="C93" s="39" t="s">
        <v>282</v>
      </c>
      <c r="D93" s="35" t="s">
        <v>351</v>
      </c>
      <c r="E93" s="72" t="s">
        <v>356</v>
      </c>
      <c r="F93" s="31" t="s">
        <v>144</v>
      </c>
      <c r="G93" s="41" t="str">
        <f>IFERROR(VLOOKUP(F93,'Referencia PT'!D:F,2,FALSE),"-")</f>
        <v>Serviço Mensal</v>
      </c>
      <c r="H93" s="39" t="s">
        <v>11</v>
      </c>
      <c r="I93" s="40">
        <v>45293</v>
      </c>
      <c r="J93" s="33">
        <f>IFERROR(VLOOKUP(F93,'Referencia PT'!D:F,3,FALSE),"0")</f>
        <v>5200</v>
      </c>
      <c r="K93" s="28">
        <v>31</v>
      </c>
      <c r="L93" s="34">
        <f t="shared" si="5"/>
        <v>5200</v>
      </c>
    </row>
    <row r="94" spans="1:14" ht="13.9" customHeight="1" x14ac:dyDescent="0.25">
      <c r="A94" s="39">
        <v>30</v>
      </c>
      <c r="B94" s="78" t="s">
        <v>283</v>
      </c>
      <c r="C94" s="28" t="s">
        <v>284</v>
      </c>
      <c r="D94" s="29" t="s">
        <v>352</v>
      </c>
      <c r="E94" s="100" t="s">
        <v>357</v>
      </c>
      <c r="F94" s="73" t="s">
        <v>140</v>
      </c>
      <c r="G94" s="32" t="str">
        <f>IFERROR(VLOOKUP(F94,'Referencia PT'!D:F,2,FALSE),"-")</f>
        <v>Serviço Mensal</v>
      </c>
      <c r="H94" s="28" t="s">
        <v>10</v>
      </c>
      <c r="I94" s="30">
        <v>45293</v>
      </c>
      <c r="J94" s="33">
        <f>IFERROR(VLOOKUP(F94,'Referencia PT'!D:F,3,FALSE),"0")</f>
        <v>4770</v>
      </c>
      <c r="K94" s="28">
        <v>31</v>
      </c>
      <c r="L94" s="34">
        <f t="shared" si="5"/>
        <v>4770</v>
      </c>
    </row>
    <row r="95" spans="1:14" ht="14.25" customHeight="1" x14ac:dyDescent="0.25">
      <c r="A95" s="28">
        <v>1</v>
      </c>
      <c r="B95" s="78" t="s">
        <v>285</v>
      </c>
      <c r="C95" s="28" t="s">
        <v>286</v>
      </c>
      <c r="D95" s="29" t="s">
        <v>353</v>
      </c>
      <c r="E95" s="100" t="s">
        <v>357</v>
      </c>
      <c r="F95" s="73" t="s">
        <v>146</v>
      </c>
      <c r="G95" s="32" t="str">
        <f>IFERROR(VLOOKUP(F95,'Referencia PT'!D:F,2,FALSE),"-")</f>
        <v>Serviço Mensal</v>
      </c>
      <c r="H95" s="28" t="s">
        <v>10</v>
      </c>
      <c r="I95" s="30">
        <v>45293</v>
      </c>
      <c r="J95" s="33">
        <f>IFERROR(VLOOKUP(F95,'Referencia PT'!D:F,3,FALSE),"0")</f>
        <v>3862.16</v>
      </c>
      <c r="K95" s="28">
        <v>31</v>
      </c>
      <c r="L95" s="34">
        <f t="shared" si="5"/>
        <v>3862.16</v>
      </c>
    </row>
    <row r="96" spans="1:14" ht="13.9" customHeight="1" x14ac:dyDescent="0.25">
      <c r="A96" s="28">
        <v>1</v>
      </c>
      <c r="B96" s="78" t="s">
        <v>287</v>
      </c>
      <c r="C96" s="28" t="s">
        <v>288</v>
      </c>
      <c r="D96" s="29" t="s">
        <v>287</v>
      </c>
      <c r="E96" s="100" t="s">
        <v>356</v>
      </c>
      <c r="F96" s="31" t="s">
        <v>143</v>
      </c>
      <c r="G96" s="32" t="str">
        <f>IFERROR(VLOOKUP(F96,'Referencia PT'!D:F,2,FALSE),"-")</f>
        <v>Serviço Mensal</v>
      </c>
      <c r="H96" s="28" t="s">
        <v>10</v>
      </c>
      <c r="I96" s="30">
        <v>45293</v>
      </c>
      <c r="J96" s="33">
        <f>IFERROR(VLOOKUP(F96,'Referencia PT'!D:F,3,FALSE),"0")</f>
        <v>4950</v>
      </c>
      <c r="K96" s="28">
        <v>31</v>
      </c>
      <c r="L96" s="34">
        <f t="shared" si="5"/>
        <v>4950</v>
      </c>
    </row>
    <row r="97" spans="1:17" ht="14.25" customHeight="1" x14ac:dyDescent="0.25">
      <c r="A97" s="28">
        <v>1</v>
      </c>
      <c r="B97" s="78" t="s">
        <v>289</v>
      </c>
      <c r="C97" s="28" t="s">
        <v>290</v>
      </c>
      <c r="D97" s="29" t="s">
        <v>354</v>
      </c>
      <c r="E97" s="100" t="s">
        <v>357</v>
      </c>
      <c r="F97" s="31" t="s">
        <v>145</v>
      </c>
      <c r="G97" s="32" t="str">
        <f>IFERROR(VLOOKUP(F97,'Referencia PT'!D:F,2,FALSE),"-")</f>
        <v>Serviço Mensal</v>
      </c>
      <c r="H97" s="28" t="s">
        <v>10</v>
      </c>
      <c r="I97" s="30">
        <v>45293</v>
      </c>
      <c r="J97" s="33">
        <f>IFERROR(VLOOKUP(F97,'Referencia PT'!D:F,3,FALSE),"0")</f>
        <v>4770</v>
      </c>
      <c r="K97" s="28">
        <f>(31-10)+1</f>
        <v>22</v>
      </c>
      <c r="L97" s="34">
        <f t="shared" si="5"/>
        <v>3385.1612903225805</v>
      </c>
    </row>
    <row r="98" spans="1:17" ht="14.25" customHeight="1" x14ac:dyDescent="0.25">
      <c r="A98" s="28">
        <v>1</v>
      </c>
      <c r="B98" s="78" t="s">
        <v>291</v>
      </c>
      <c r="C98" s="28" t="s">
        <v>292</v>
      </c>
      <c r="D98" s="29" t="s">
        <v>355</v>
      </c>
      <c r="E98" s="100" t="s">
        <v>356</v>
      </c>
      <c r="F98" s="31" t="s">
        <v>146</v>
      </c>
      <c r="G98" s="32" t="str">
        <f>IFERROR(VLOOKUP(F98,'Referencia PT'!D:F,2,FALSE),"-")</f>
        <v>Serviço Mensal</v>
      </c>
      <c r="H98" s="28" t="s">
        <v>10</v>
      </c>
      <c r="I98" s="30">
        <v>45293</v>
      </c>
      <c r="J98" s="33">
        <f>IFERROR(VLOOKUP(F98,'Referencia PT'!D:F,3,FALSE),"0")</f>
        <v>3862.16</v>
      </c>
      <c r="K98" s="28">
        <v>31</v>
      </c>
      <c r="L98" s="34">
        <f t="shared" si="5"/>
        <v>3862.16</v>
      </c>
    </row>
    <row r="99" spans="1:17" ht="13.9" customHeight="1" x14ac:dyDescent="0.25">
      <c r="A99" s="28"/>
      <c r="B99" s="29"/>
      <c r="C99" s="28"/>
      <c r="D99" s="29"/>
      <c r="E99" s="100"/>
      <c r="F99" s="31"/>
      <c r="G99" s="32" t="str">
        <f>IFERROR(VLOOKUP(F99,'Referencia PT'!D:F,2,FALSE),"-")</f>
        <v>-</v>
      </c>
      <c r="H99" s="28" t="s">
        <v>10</v>
      </c>
      <c r="I99" s="30">
        <v>45293</v>
      </c>
      <c r="J99" s="33" t="str">
        <f>IFERROR(VLOOKUP(F99,'Referencia PT'!D:F,3,FALSE),"0")</f>
        <v>0</v>
      </c>
      <c r="K99" s="28"/>
      <c r="L99" s="34">
        <f t="shared" si="5"/>
        <v>0</v>
      </c>
    </row>
    <row r="100" spans="1:17" ht="14.25" customHeight="1" x14ac:dyDescent="0.25">
      <c r="A100" s="28">
        <v>38</v>
      </c>
      <c r="B100" s="35"/>
      <c r="C100" s="28"/>
      <c r="D100" s="29"/>
      <c r="E100" s="100"/>
      <c r="F100" s="31"/>
      <c r="G100" s="32" t="str">
        <f>IFERROR(VLOOKUP(F100,'Referencia PT'!D:F,2,FALSE),"-")</f>
        <v>-</v>
      </c>
      <c r="H100" s="28" t="s">
        <v>10</v>
      </c>
      <c r="I100" s="30">
        <v>45293</v>
      </c>
      <c r="J100" s="33" t="str">
        <f>IFERROR(VLOOKUP(F100,'Referencia PT'!D:F,3,FALSE),"0")</f>
        <v>0</v>
      </c>
      <c r="K100" s="28"/>
      <c r="L100" s="34">
        <f t="shared" si="5"/>
        <v>0</v>
      </c>
    </row>
    <row r="101" spans="1:17" ht="14.25" customHeight="1" x14ac:dyDescent="0.25">
      <c r="A101" s="28">
        <v>40</v>
      </c>
      <c r="B101" s="35"/>
      <c r="C101" s="28"/>
      <c r="D101" s="29"/>
      <c r="E101" s="100"/>
      <c r="F101" s="31"/>
      <c r="G101" s="32" t="str">
        <f>IFERROR(VLOOKUP(F101,'Referencia PT'!D:F,2,FALSE),"-")</f>
        <v>-</v>
      </c>
      <c r="H101" s="28" t="s">
        <v>10</v>
      </c>
      <c r="I101" s="30">
        <v>45293</v>
      </c>
      <c r="J101" s="33" t="str">
        <f>IFERROR(VLOOKUP(F101,'Referencia PT'!D:F,3,FALSE),"0")</f>
        <v>0</v>
      </c>
      <c r="K101" s="28"/>
      <c r="L101" s="34">
        <f t="shared" si="5"/>
        <v>0</v>
      </c>
    </row>
    <row r="102" spans="1:17" ht="14.25" customHeight="1" x14ac:dyDescent="0.25">
      <c r="A102" s="28">
        <v>40</v>
      </c>
      <c r="B102" s="35"/>
      <c r="C102" s="28"/>
      <c r="D102" s="29"/>
      <c r="E102" s="100"/>
      <c r="F102" s="31"/>
      <c r="G102" s="32" t="str">
        <f>IFERROR(VLOOKUP(F102,'Referencia PT'!D:F,2,FALSE),"-")</f>
        <v>-</v>
      </c>
      <c r="H102" s="28" t="s">
        <v>10</v>
      </c>
      <c r="I102" s="30">
        <v>45293</v>
      </c>
      <c r="J102" s="33" t="str">
        <f>IFERROR(VLOOKUP(F102,'Referencia PT'!D:F,3,FALSE),"0")</f>
        <v>0</v>
      </c>
      <c r="K102" s="28"/>
      <c r="L102" s="34">
        <f t="shared" si="5"/>
        <v>0</v>
      </c>
    </row>
    <row r="103" spans="1:17" ht="14.25" customHeight="1" x14ac:dyDescent="0.25">
      <c r="A103" s="28">
        <v>42</v>
      </c>
      <c r="B103" s="35"/>
      <c r="C103" s="28"/>
      <c r="D103" s="29"/>
      <c r="E103" s="100"/>
      <c r="F103" s="31"/>
      <c r="G103" s="32" t="str">
        <f>IFERROR(VLOOKUP(F103,'Referencia PT'!D:F,2,FALSE),"-")</f>
        <v>-</v>
      </c>
      <c r="H103" s="28" t="s">
        <v>10</v>
      </c>
      <c r="I103" s="30">
        <v>45293</v>
      </c>
      <c r="J103" s="33" t="str">
        <f>IFERROR(VLOOKUP(F103,'Referencia PT'!D:F,3,FALSE),"0")</f>
        <v>0</v>
      </c>
      <c r="K103" s="28"/>
      <c r="L103" s="34">
        <f t="shared" si="5"/>
        <v>0</v>
      </c>
    </row>
    <row r="104" spans="1:17" ht="14.25" customHeight="1" x14ac:dyDescent="0.25">
      <c r="A104" s="28">
        <v>42</v>
      </c>
      <c r="B104" s="35"/>
      <c r="C104" s="28"/>
      <c r="D104" s="29"/>
      <c r="E104" s="100"/>
      <c r="F104" s="31"/>
      <c r="G104" s="32" t="str">
        <f>IFERROR(VLOOKUP(F104,'Referencia PT'!D:F,2,FALSE),"-")</f>
        <v>-</v>
      </c>
      <c r="H104" s="28" t="s">
        <v>10</v>
      </c>
      <c r="I104" s="30">
        <v>45293</v>
      </c>
      <c r="J104" s="33" t="str">
        <f>IFERROR(VLOOKUP(F104,'Referencia PT'!D:F,3,FALSE),"0")</f>
        <v>0</v>
      </c>
      <c r="K104" s="28"/>
      <c r="L104" s="34">
        <f t="shared" si="5"/>
        <v>0</v>
      </c>
    </row>
    <row r="105" spans="1:17" ht="13.9" customHeight="1" x14ac:dyDescent="0.25">
      <c r="A105" s="28">
        <v>42</v>
      </c>
      <c r="B105" s="29"/>
      <c r="C105" s="28"/>
      <c r="D105" s="29"/>
      <c r="E105" s="100"/>
      <c r="F105" s="31"/>
      <c r="G105" s="32" t="str">
        <f>IFERROR(VLOOKUP(F105,'Referencia PT'!D:F,2,FALSE),"-")</f>
        <v>-</v>
      </c>
      <c r="H105" s="28" t="s">
        <v>10</v>
      </c>
      <c r="I105" s="30">
        <v>45293</v>
      </c>
      <c r="J105" s="33" t="str">
        <f>IFERROR(VLOOKUP(F105,'Referencia PT'!D:F,3,FALSE),"0")</f>
        <v>0</v>
      </c>
      <c r="K105" s="28"/>
      <c r="L105" s="34">
        <f t="shared" si="5"/>
        <v>0</v>
      </c>
    </row>
    <row r="106" spans="1:17" ht="14.25" customHeight="1" x14ac:dyDescent="0.25">
      <c r="A106" s="28">
        <v>45</v>
      </c>
      <c r="B106" s="29"/>
      <c r="C106" s="28"/>
      <c r="D106" s="29"/>
      <c r="E106" s="100"/>
      <c r="F106" s="31"/>
      <c r="G106" s="32" t="str">
        <f>IFERROR(VLOOKUP(F106,'Referencia PT'!D:F,2,FALSE),"-")</f>
        <v>-</v>
      </c>
      <c r="H106" s="28" t="s">
        <v>10</v>
      </c>
      <c r="I106" s="30">
        <v>45293</v>
      </c>
      <c r="J106" s="33" t="str">
        <f>IFERROR(VLOOKUP(F106,'Referencia PT'!D:F,3,FALSE),"0")</f>
        <v>0</v>
      </c>
      <c r="K106" s="28"/>
      <c r="L106" s="34">
        <f t="shared" si="5"/>
        <v>0</v>
      </c>
    </row>
    <row r="107" spans="1:17" ht="14.25" customHeight="1" x14ac:dyDescent="0.25">
      <c r="A107" s="28">
        <v>46</v>
      </c>
      <c r="B107" s="29"/>
      <c r="C107" s="28"/>
      <c r="D107" s="29"/>
      <c r="E107" s="100"/>
      <c r="F107" s="31"/>
      <c r="G107" s="32" t="str">
        <f>IFERROR(VLOOKUP(F107,'Referencia PT'!D:F,2,FALSE),"-")</f>
        <v>-</v>
      </c>
      <c r="H107" s="28" t="s">
        <v>10</v>
      </c>
      <c r="I107" s="30">
        <v>45293</v>
      </c>
      <c r="J107" s="33" t="str">
        <f>IFERROR(VLOOKUP(F107,'Referencia PT'!D:F,3,FALSE),"0")</f>
        <v>0</v>
      </c>
      <c r="K107" s="28"/>
      <c r="L107" s="34">
        <f t="shared" si="5"/>
        <v>0</v>
      </c>
    </row>
    <row r="108" spans="1:17" x14ac:dyDescent="0.25">
      <c r="A108" s="67" t="s">
        <v>75</v>
      </c>
      <c r="B108" s="68" t="s">
        <v>12</v>
      </c>
      <c r="C108" s="66"/>
      <c r="D108" s="66"/>
      <c r="E108" s="101"/>
      <c r="F108" s="42">
        <f>SUBTOTAL(3,F15:F107)</f>
        <v>84</v>
      </c>
      <c r="G108" s="42" t="s">
        <v>13</v>
      </c>
      <c r="H108" s="42" t="s">
        <v>13</v>
      </c>
      <c r="I108" s="42" t="s">
        <v>13</v>
      </c>
      <c r="J108" s="42" t="s">
        <v>13</v>
      </c>
      <c r="K108" s="42" t="s">
        <v>13</v>
      </c>
      <c r="L108" s="43">
        <f>SUBTOTAL(9,L15:L107)</f>
        <v>339880.73161290318</v>
      </c>
      <c r="M108" s="14"/>
      <c r="N108" s="14"/>
      <c r="O108" s="14"/>
      <c r="P108" s="14"/>
      <c r="Q108" s="14"/>
    </row>
    <row r="109" spans="1:17" ht="14.25" customHeight="1" x14ac:dyDescent="0.25">
      <c r="A109" s="10"/>
      <c r="C109" s="10"/>
      <c r="F109" s="8"/>
      <c r="G109" s="10"/>
      <c r="H109" s="10"/>
      <c r="I109" s="10"/>
      <c r="J109" s="11"/>
      <c r="K109" s="10"/>
      <c r="L109" s="12"/>
    </row>
    <row r="110" spans="1:17" ht="14.25" customHeight="1" x14ac:dyDescent="0.25">
      <c r="A110" s="10"/>
      <c r="C110" s="10"/>
      <c r="F110" s="8"/>
      <c r="G110" s="10"/>
      <c r="H110" s="10"/>
      <c r="I110" s="10"/>
      <c r="J110" s="11"/>
      <c r="K110" s="10"/>
      <c r="L110" s="12"/>
    </row>
    <row r="111" spans="1:17" ht="14.25" customHeight="1" x14ac:dyDescent="0.25">
      <c r="A111" s="10"/>
      <c r="C111" s="10"/>
      <c r="F111" s="8"/>
      <c r="G111" s="10"/>
      <c r="H111" s="10"/>
      <c r="I111" s="10"/>
      <c r="J111" s="11"/>
      <c r="K111" s="10"/>
      <c r="L111" s="12"/>
    </row>
    <row r="112" spans="1:17" ht="14.25" customHeight="1" x14ac:dyDescent="0.25">
      <c r="A112" s="10"/>
      <c r="C112" s="10"/>
      <c r="F112" s="8"/>
      <c r="G112" s="10"/>
      <c r="H112" s="10"/>
      <c r="I112" s="10"/>
      <c r="J112" s="11"/>
      <c r="K112" s="10"/>
      <c r="L112" s="12"/>
    </row>
    <row r="113" spans="1:12" ht="14.25" customHeight="1" x14ac:dyDescent="0.25">
      <c r="A113" s="10"/>
      <c r="C113" s="10"/>
      <c r="F113" s="8"/>
      <c r="G113" s="10"/>
      <c r="H113" s="10"/>
      <c r="I113" s="10"/>
      <c r="J113" s="11"/>
      <c r="K113" s="10"/>
      <c r="L113" s="12"/>
    </row>
    <row r="114" spans="1:12" ht="14.25" customHeight="1" x14ac:dyDescent="0.25">
      <c r="A114" s="10"/>
      <c r="C114" s="10"/>
      <c r="F114" s="8"/>
      <c r="G114" s="10"/>
      <c r="H114" s="10"/>
      <c r="I114" s="10"/>
      <c r="J114" s="11"/>
      <c r="K114" s="10"/>
      <c r="L114" s="12"/>
    </row>
    <row r="115" spans="1:12" ht="14.25" customHeight="1" x14ac:dyDescent="0.25">
      <c r="A115" s="10"/>
      <c r="C115" s="10"/>
      <c r="F115" s="8"/>
      <c r="G115" s="10"/>
      <c r="H115" s="10"/>
      <c r="I115" s="10"/>
      <c r="J115" s="11"/>
      <c r="K115" s="10"/>
      <c r="L115" s="12"/>
    </row>
    <row r="116" spans="1:12" ht="14.25" customHeight="1" x14ac:dyDescent="0.25">
      <c r="A116" s="10"/>
      <c r="C116" s="10"/>
      <c r="F116" s="8"/>
      <c r="G116" s="10"/>
      <c r="H116" s="10"/>
      <c r="I116" s="10"/>
      <c r="J116" s="11"/>
      <c r="K116" s="10"/>
      <c r="L116" s="12"/>
    </row>
    <row r="117" spans="1:12" ht="14.25" customHeight="1" x14ac:dyDescent="0.25">
      <c r="A117" s="10"/>
      <c r="C117" s="10"/>
      <c r="F117" s="8"/>
      <c r="G117" s="10"/>
      <c r="H117" s="10"/>
      <c r="I117" s="10"/>
      <c r="J117" s="11"/>
      <c r="K117" s="10"/>
      <c r="L117" s="12"/>
    </row>
    <row r="118" spans="1:12" ht="14.25" customHeight="1" x14ac:dyDescent="0.25">
      <c r="A118" s="10"/>
      <c r="C118" s="10"/>
      <c r="F118" s="8"/>
      <c r="G118" s="10"/>
      <c r="H118" s="10"/>
      <c r="I118" s="10"/>
      <c r="J118" s="11"/>
      <c r="K118" s="10"/>
      <c r="L118" s="12"/>
    </row>
    <row r="119" spans="1:12" ht="14.25" customHeight="1" x14ac:dyDescent="0.25">
      <c r="A119" s="10"/>
      <c r="C119" s="10"/>
      <c r="F119" s="8"/>
      <c r="G119" s="10"/>
      <c r="H119" s="10"/>
      <c r="I119" s="10"/>
      <c r="J119" s="11"/>
      <c r="K119" s="10"/>
      <c r="L119" s="12"/>
    </row>
    <row r="120" spans="1:12" ht="14.25" customHeight="1" x14ac:dyDescent="0.25">
      <c r="A120" s="10"/>
      <c r="C120" s="10"/>
      <c r="F120" s="8"/>
      <c r="G120" s="10"/>
      <c r="H120" s="10"/>
      <c r="I120" s="10"/>
      <c r="J120" s="11"/>
      <c r="K120" s="10"/>
      <c r="L120" s="12"/>
    </row>
    <row r="121" spans="1:12" ht="14.25" customHeight="1" x14ac:dyDescent="0.25">
      <c r="A121" s="10"/>
      <c r="C121" s="10"/>
      <c r="F121" s="8"/>
      <c r="G121" s="10"/>
      <c r="H121" s="10"/>
      <c r="I121" s="10"/>
      <c r="J121" s="11"/>
      <c r="K121" s="10"/>
      <c r="L121" s="12"/>
    </row>
    <row r="122" spans="1:12" ht="14.25" customHeight="1" x14ac:dyDescent="0.25">
      <c r="A122" s="10"/>
      <c r="C122" s="10"/>
      <c r="F122" s="8"/>
      <c r="G122" s="10"/>
      <c r="H122" s="10"/>
      <c r="I122" s="10"/>
      <c r="J122" s="11"/>
      <c r="K122" s="10"/>
      <c r="L122" s="12"/>
    </row>
    <row r="123" spans="1:12" ht="14.25" customHeight="1" x14ac:dyDescent="0.25">
      <c r="A123" s="10"/>
      <c r="C123" s="10"/>
      <c r="F123" s="8"/>
      <c r="G123" s="10"/>
      <c r="H123" s="10"/>
      <c r="I123" s="10"/>
      <c r="J123" s="11"/>
      <c r="K123" s="10"/>
      <c r="L123" s="12"/>
    </row>
    <row r="124" spans="1:12" ht="14.25" customHeight="1" x14ac:dyDescent="0.25">
      <c r="A124" s="10"/>
      <c r="C124" s="10"/>
      <c r="F124" s="8"/>
      <c r="G124" s="10"/>
      <c r="H124" s="10"/>
      <c r="I124" s="10"/>
      <c r="J124" s="11"/>
      <c r="K124" s="10"/>
      <c r="L124" s="12"/>
    </row>
    <row r="125" spans="1:12" ht="14.25" customHeight="1" x14ac:dyDescent="0.25">
      <c r="A125" s="10"/>
      <c r="C125" s="10"/>
      <c r="F125" s="8"/>
      <c r="G125" s="10"/>
      <c r="H125" s="10"/>
      <c r="I125" s="10"/>
      <c r="J125" s="11"/>
      <c r="K125" s="10"/>
      <c r="L125" s="12"/>
    </row>
    <row r="126" spans="1:12" ht="14.25" customHeight="1" x14ac:dyDescent="0.25">
      <c r="A126" s="10"/>
      <c r="C126" s="10"/>
      <c r="F126" s="8"/>
      <c r="G126" s="10"/>
      <c r="H126" s="10"/>
      <c r="I126" s="10"/>
      <c r="J126" s="11"/>
      <c r="K126" s="10"/>
      <c r="L126" s="12"/>
    </row>
    <row r="127" spans="1:12" ht="14.25" customHeight="1" x14ac:dyDescent="0.25">
      <c r="A127" s="10"/>
      <c r="C127" s="10"/>
      <c r="F127" s="8"/>
      <c r="G127" s="10"/>
      <c r="H127" s="10"/>
      <c r="I127" s="10"/>
      <c r="J127" s="11"/>
      <c r="K127" s="10"/>
      <c r="L127" s="12"/>
    </row>
    <row r="128" spans="1:12" ht="14.25" customHeight="1" x14ac:dyDescent="0.25">
      <c r="A128" s="10"/>
      <c r="C128" s="10"/>
      <c r="F128" s="8"/>
      <c r="G128" s="10"/>
      <c r="H128" s="10"/>
      <c r="I128" s="10"/>
      <c r="J128" s="11"/>
      <c r="K128" s="10"/>
      <c r="L128" s="12"/>
    </row>
    <row r="129" spans="1:12" ht="14.25" customHeight="1" x14ac:dyDescent="0.25">
      <c r="A129" s="10"/>
      <c r="C129" s="10"/>
      <c r="F129" s="8"/>
      <c r="G129" s="10"/>
      <c r="H129" s="10"/>
      <c r="I129" s="10"/>
      <c r="J129" s="11"/>
      <c r="K129" s="10"/>
      <c r="L129" s="12"/>
    </row>
    <row r="130" spans="1:12" ht="14.25" customHeight="1" x14ac:dyDescent="0.25">
      <c r="A130" s="10"/>
      <c r="C130" s="10"/>
      <c r="F130" s="8"/>
      <c r="G130" s="10"/>
      <c r="H130" s="10"/>
      <c r="I130" s="10"/>
      <c r="J130" s="11"/>
      <c r="K130" s="10"/>
      <c r="L130" s="12"/>
    </row>
    <row r="131" spans="1:12" ht="14.25" customHeight="1" x14ac:dyDescent="0.25">
      <c r="A131" s="10"/>
      <c r="C131" s="10"/>
      <c r="F131" s="8"/>
      <c r="G131" s="10"/>
      <c r="H131" s="10"/>
      <c r="I131" s="10"/>
      <c r="J131" s="11"/>
      <c r="K131" s="10"/>
      <c r="L131" s="12"/>
    </row>
    <row r="132" spans="1:12" ht="14.25" customHeight="1" x14ac:dyDescent="0.25">
      <c r="A132" s="10"/>
      <c r="C132" s="10"/>
      <c r="F132" s="8"/>
      <c r="G132" s="10"/>
      <c r="H132" s="10"/>
      <c r="I132" s="10"/>
      <c r="J132" s="11"/>
      <c r="K132" s="10"/>
      <c r="L132" s="12"/>
    </row>
    <row r="133" spans="1:12" ht="14.25" customHeight="1" x14ac:dyDescent="0.25">
      <c r="A133" s="10"/>
      <c r="C133" s="10"/>
      <c r="F133" s="8"/>
      <c r="G133" s="10"/>
      <c r="H133" s="10"/>
      <c r="I133" s="10"/>
      <c r="J133" s="11"/>
      <c r="K133" s="10"/>
      <c r="L133" s="12"/>
    </row>
    <row r="134" spans="1:12" ht="14.25" customHeight="1" x14ac:dyDescent="0.25">
      <c r="A134" s="10"/>
      <c r="C134" s="10"/>
      <c r="F134" s="8"/>
      <c r="G134" s="10"/>
      <c r="H134" s="10"/>
      <c r="I134" s="10"/>
      <c r="J134" s="11"/>
      <c r="K134" s="10"/>
      <c r="L134" s="12"/>
    </row>
    <row r="135" spans="1:12" ht="14.25" customHeight="1" x14ac:dyDescent="0.25">
      <c r="A135" s="10"/>
      <c r="C135" s="10"/>
      <c r="F135" s="8"/>
      <c r="G135" s="10"/>
      <c r="H135" s="10"/>
      <c r="I135" s="10"/>
      <c r="J135" s="11"/>
      <c r="K135" s="10"/>
      <c r="L135" s="12"/>
    </row>
    <row r="136" spans="1:12" ht="14.25" customHeight="1" x14ac:dyDescent="0.25">
      <c r="A136" s="10"/>
      <c r="C136" s="10"/>
      <c r="F136" s="8"/>
      <c r="G136" s="10"/>
      <c r="H136" s="10"/>
      <c r="I136" s="10"/>
      <c r="J136" s="11"/>
      <c r="K136" s="10"/>
      <c r="L136" s="12"/>
    </row>
    <row r="137" spans="1:12" ht="14.25" customHeight="1" x14ac:dyDescent="0.25">
      <c r="A137" s="10"/>
      <c r="C137" s="10"/>
      <c r="F137" s="8"/>
      <c r="G137" s="10"/>
      <c r="H137" s="10"/>
      <c r="I137" s="10"/>
      <c r="J137" s="11"/>
      <c r="K137" s="10"/>
      <c r="L137" s="12"/>
    </row>
    <row r="138" spans="1:12" ht="14.25" customHeight="1" x14ac:dyDescent="0.25">
      <c r="A138" s="10"/>
      <c r="C138" s="10"/>
      <c r="F138" s="8"/>
      <c r="G138" s="10"/>
      <c r="H138" s="10"/>
      <c r="I138" s="10"/>
      <c r="J138" s="11"/>
      <c r="K138" s="10"/>
      <c r="L138" s="12"/>
    </row>
    <row r="139" spans="1:12" ht="14.25" customHeight="1" x14ac:dyDescent="0.25">
      <c r="A139" s="10"/>
      <c r="C139" s="10"/>
      <c r="F139" s="8"/>
      <c r="G139" s="10"/>
      <c r="H139" s="10"/>
      <c r="I139" s="10"/>
      <c r="J139" s="11"/>
      <c r="K139" s="10"/>
      <c r="L139" s="12"/>
    </row>
    <row r="140" spans="1:12" ht="14.25" customHeight="1" x14ac:dyDescent="0.25">
      <c r="A140" s="10"/>
      <c r="C140" s="10"/>
      <c r="F140" s="8"/>
      <c r="G140" s="10"/>
      <c r="H140" s="10"/>
      <c r="I140" s="10"/>
      <c r="J140" s="11"/>
      <c r="K140" s="10"/>
      <c r="L140" s="12"/>
    </row>
    <row r="141" spans="1:12" ht="14.25" customHeight="1" x14ac:dyDescent="0.25">
      <c r="A141" s="10"/>
      <c r="C141" s="10"/>
      <c r="F141" s="8"/>
      <c r="G141" s="10"/>
      <c r="H141" s="10"/>
      <c r="I141" s="10"/>
      <c r="J141" s="11"/>
      <c r="K141" s="10"/>
      <c r="L141" s="12"/>
    </row>
    <row r="142" spans="1:12" ht="14.25" customHeight="1" x14ac:dyDescent="0.25">
      <c r="A142" s="10"/>
      <c r="C142" s="10"/>
      <c r="F142" s="8"/>
      <c r="G142" s="10"/>
      <c r="H142" s="10"/>
      <c r="I142" s="10"/>
      <c r="J142" s="11"/>
      <c r="K142" s="10"/>
      <c r="L142" s="12"/>
    </row>
    <row r="143" spans="1:12" ht="14.25" customHeight="1" x14ac:dyDescent="0.25">
      <c r="A143" s="10"/>
      <c r="C143" s="10"/>
      <c r="F143" s="8"/>
      <c r="G143" s="10"/>
      <c r="H143" s="10"/>
      <c r="I143" s="10"/>
      <c r="J143" s="11"/>
      <c r="K143" s="10"/>
      <c r="L143" s="12"/>
    </row>
    <row r="144" spans="1:12" ht="14.25" customHeight="1" x14ac:dyDescent="0.25">
      <c r="A144" s="10"/>
      <c r="C144" s="10"/>
      <c r="F144" s="8"/>
      <c r="G144" s="10"/>
      <c r="H144" s="10"/>
      <c r="I144" s="10"/>
      <c r="J144" s="11"/>
      <c r="K144" s="10"/>
      <c r="L144" s="12"/>
    </row>
    <row r="145" spans="1:12" ht="14.25" customHeight="1" x14ac:dyDescent="0.25">
      <c r="A145" s="10"/>
      <c r="C145" s="10"/>
      <c r="F145" s="8"/>
      <c r="G145" s="10"/>
      <c r="H145" s="10"/>
      <c r="I145" s="10"/>
      <c r="J145" s="11"/>
      <c r="K145" s="10"/>
      <c r="L145" s="12"/>
    </row>
    <row r="146" spans="1:12" ht="14.25" customHeight="1" x14ac:dyDescent="0.25">
      <c r="A146" s="10"/>
      <c r="C146" s="10"/>
      <c r="F146" s="8"/>
      <c r="G146" s="10"/>
      <c r="H146" s="10"/>
      <c r="I146" s="10"/>
      <c r="J146" s="11"/>
      <c r="K146" s="10"/>
      <c r="L146" s="12"/>
    </row>
    <row r="147" spans="1:12" ht="14.25" customHeight="1" x14ac:dyDescent="0.25">
      <c r="A147" s="10"/>
      <c r="C147" s="10"/>
      <c r="F147" s="8"/>
      <c r="G147" s="10"/>
      <c r="H147" s="10"/>
      <c r="I147" s="10"/>
      <c r="J147" s="11"/>
      <c r="K147" s="10"/>
      <c r="L147" s="12"/>
    </row>
    <row r="148" spans="1:12" ht="14.25" customHeight="1" x14ac:dyDescent="0.25">
      <c r="A148" s="10"/>
      <c r="C148" s="10"/>
      <c r="F148" s="8"/>
      <c r="G148" s="10"/>
      <c r="H148" s="10"/>
      <c r="I148" s="10"/>
      <c r="J148" s="11"/>
      <c r="K148" s="10"/>
      <c r="L148" s="12"/>
    </row>
    <row r="149" spans="1:12" ht="14.25" customHeight="1" x14ac:dyDescent="0.25">
      <c r="A149" s="10"/>
      <c r="C149" s="10"/>
      <c r="F149" s="8"/>
      <c r="G149" s="10"/>
      <c r="H149" s="10"/>
      <c r="I149" s="10"/>
      <c r="J149" s="11"/>
      <c r="K149" s="10"/>
      <c r="L149" s="12"/>
    </row>
    <row r="150" spans="1:12" ht="14.25" customHeight="1" x14ac:dyDescent="0.25">
      <c r="A150" s="10"/>
      <c r="C150" s="10"/>
      <c r="F150" s="8"/>
      <c r="G150" s="10"/>
      <c r="H150" s="10"/>
      <c r="I150" s="10"/>
      <c r="J150" s="11"/>
      <c r="K150" s="10"/>
      <c r="L150" s="12"/>
    </row>
    <row r="151" spans="1:12" ht="14.25" customHeight="1" x14ac:dyDescent="0.25">
      <c r="A151" s="10"/>
      <c r="C151" s="10"/>
      <c r="F151" s="8"/>
      <c r="G151" s="10"/>
      <c r="H151" s="10"/>
      <c r="I151" s="10"/>
      <c r="J151" s="11"/>
      <c r="K151" s="10"/>
      <c r="L151" s="12"/>
    </row>
    <row r="152" spans="1:12" ht="14.25" customHeight="1" x14ac:dyDescent="0.25">
      <c r="A152" s="10"/>
      <c r="C152" s="10"/>
      <c r="F152" s="8"/>
      <c r="G152" s="10"/>
      <c r="H152" s="10"/>
      <c r="I152" s="10"/>
      <c r="J152" s="11"/>
      <c r="K152" s="10"/>
      <c r="L152" s="12"/>
    </row>
    <row r="153" spans="1:12" ht="14.25" customHeight="1" x14ac:dyDescent="0.25">
      <c r="A153" s="10"/>
      <c r="C153" s="10"/>
      <c r="F153" s="8"/>
      <c r="G153" s="10"/>
      <c r="H153" s="10"/>
      <c r="I153" s="10"/>
      <c r="J153" s="11"/>
      <c r="K153" s="10"/>
      <c r="L153" s="12"/>
    </row>
    <row r="154" spans="1:12" ht="14.25" customHeight="1" x14ac:dyDescent="0.25">
      <c r="A154" s="10"/>
      <c r="C154" s="10"/>
      <c r="F154" s="8"/>
      <c r="G154" s="10"/>
      <c r="H154" s="10"/>
      <c r="I154" s="10"/>
      <c r="J154" s="11"/>
      <c r="K154" s="10"/>
      <c r="L154" s="12"/>
    </row>
    <row r="155" spans="1:12" ht="14.25" customHeight="1" x14ac:dyDescent="0.25">
      <c r="A155" s="10"/>
      <c r="C155" s="10"/>
      <c r="F155" s="8"/>
      <c r="G155" s="10"/>
      <c r="H155" s="10"/>
      <c r="I155" s="10"/>
      <c r="J155" s="11"/>
      <c r="K155" s="10"/>
      <c r="L155" s="12"/>
    </row>
    <row r="156" spans="1:12" ht="14.25" customHeight="1" x14ac:dyDescent="0.25">
      <c r="A156" s="10"/>
      <c r="C156" s="10"/>
      <c r="F156" s="8"/>
      <c r="G156" s="10"/>
      <c r="H156" s="10"/>
      <c r="I156" s="10"/>
      <c r="J156" s="11"/>
      <c r="K156" s="10"/>
      <c r="L156" s="12"/>
    </row>
    <row r="157" spans="1:12" ht="14.25" customHeight="1" x14ac:dyDescent="0.25">
      <c r="A157" s="10"/>
      <c r="C157" s="10"/>
      <c r="F157" s="8"/>
      <c r="G157" s="10"/>
      <c r="H157" s="10"/>
      <c r="I157" s="10"/>
      <c r="J157" s="11"/>
      <c r="K157" s="10"/>
      <c r="L157" s="12"/>
    </row>
    <row r="158" spans="1:12" ht="14.25" customHeight="1" x14ac:dyDescent="0.25">
      <c r="A158" s="10"/>
      <c r="C158" s="10"/>
      <c r="F158" s="8"/>
      <c r="G158" s="10"/>
      <c r="H158" s="10"/>
      <c r="I158" s="10"/>
      <c r="J158" s="11"/>
      <c r="K158" s="10"/>
      <c r="L158" s="12"/>
    </row>
    <row r="159" spans="1:12" ht="14.25" customHeight="1" x14ac:dyDescent="0.25">
      <c r="A159" s="10"/>
      <c r="C159" s="10"/>
      <c r="F159" s="8"/>
      <c r="G159" s="10"/>
      <c r="H159" s="10"/>
      <c r="I159" s="10"/>
      <c r="J159" s="11"/>
      <c r="K159" s="10"/>
      <c r="L159" s="12"/>
    </row>
    <row r="160" spans="1:12" ht="14.25" customHeight="1" x14ac:dyDescent="0.25">
      <c r="A160" s="10"/>
      <c r="C160" s="10"/>
      <c r="F160" s="8"/>
      <c r="G160" s="10"/>
      <c r="H160" s="10"/>
      <c r="I160" s="10"/>
      <c r="J160" s="11"/>
      <c r="K160" s="10"/>
      <c r="L160" s="12"/>
    </row>
    <row r="161" spans="1:12" ht="14.25" customHeight="1" x14ac:dyDescent="0.25">
      <c r="A161" s="10"/>
      <c r="C161" s="10"/>
      <c r="F161" s="8"/>
      <c r="G161" s="10"/>
      <c r="H161" s="10"/>
      <c r="I161" s="10"/>
      <c r="J161" s="11"/>
      <c r="K161" s="10"/>
      <c r="L161" s="12"/>
    </row>
    <row r="162" spans="1:12" ht="14.25" customHeight="1" x14ac:dyDescent="0.25">
      <c r="A162" s="10"/>
      <c r="C162" s="10"/>
      <c r="F162" s="8"/>
      <c r="G162" s="10"/>
      <c r="H162" s="10"/>
      <c r="I162" s="10"/>
      <c r="J162" s="11"/>
      <c r="K162" s="10"/>
      <c r="L162" s="12"/>
    </row>
    <row r="163" spans="1:12" ht="14.25" customHeight="1" x14ac:dyDescent="0.25">
      <c r="A163" s="10"/>
      <c r="C163" s="10"/>
      <c r="F163" s="8"/>
      <c r="G163" s="10"/>
      <c r="H163" s="10"/>
      <c r="I163" s="10"/>
      <c r="J163" s="11"/>
      <c r="K163" s="10"/>
      <c r="L163" s="12"/>
    </row>
    <row r="164" spans="1:12" ht="14.25" customHeight="1" x14ac:dyDescent="0.25">
      <c r="A164" s="10"/>
      <c r="C164" s="10"/>
      <c r="F164" s="8"/>
      <c r="G164" s="10"/>
      <c r="H164" s="10"/>
      <c r="I164" s="10"/>
      <c r="J164" s="11"/>
      <c r="K164" s="10"/>
      <c r="L164" s="12"/>
    </row>
    <row r="165" spans="1:12" ht="14.25" customHeight="1" x14ac:dyDescent="0.25">
      <c r="A165" s="10"/>
      <c r="C165" s="10"/>
      <c r="F165" s="8"/>
      <c r="G165" s="10"/>
      <c r="H165" s="10"/>
      <c r="I165" s="10"/>
      <c r="J165" s="11"/>
      <c r="K165" s="10"/>
      <c r="L165" s="12"/>
    </row>
    <row r="166" spans="1:12" ht="14.25" customHeight="1" x14ac:dyDescent="0.25">
      <c r="A166" s="10"/>
      <c r="C166" s="10"/>
      <c r="F166" s="8"/>
      <c r="G166" s="10"/>
      <c r="H166" s="10"/>
      <c r="I166" s="10"/>
      <c r="J166" s="11"/>
      <c r="K166" s="10"/>
      <c r="L166" s="12"/>
    </row>
    <row r="167" spans="1:12" ht="14.25" customHeight="1" x14ac:dyDescent="0.25">
      <c r="A167" s="10"/>
      <c r="C167" s="10"/>
      <c r="F167" s="8"/>
      <c r="G167" s="10"/>
      <c r="H167" s="10"/>
      <c r="I167" s="10"/>
      <c r="J167" s="11"/>
      <c r="K167" s="10"/>
      <c r="L167" s="12"/>
    </row>
    <row r="168" spans="1:12" ht="14.25" customHeight="1" x14ac:dyDescent="0.25">
      <c r="A168" s="10"/>
      <c r="C168" s="10"/>
      <c r="F168" s="8"/>
      <c r="G168" s="10"/>
      <c r="H168" s="10"/>
      <c r="I168" s="10"/>
      <c r="J168" s="11"/>
      <c r="K168" s="10"/>
      <c r="L168" s="12"/>
    </row>
    <row r="169" spans="1:12" ht="14.25" customHeight="1" x14ac:dyDescent="0.25">
      <c r="A169" s="10"/>
      <c r="C169" s="10"/>
      <c r="F169" s="8"/>
      <c r="G169" s="10"/>
      <c r="H169" s="10"/>
      <c r="I169" s="10"/>
      <c r="J169" s="11"/>
      <c r="K169" s="10"/>
      <c r="L169" s="12"/>
    </row>
    <row r="170" spans="1:12" ht="14.25" customHeight="1" x14ac:dyDescent="0.25">
      <c r="A170" s="10"/>
      <c r="C170" s="10"/>
      <c r="F170" s="8"/>
      <c r="G170" s="10"/>
      <c r="H170" s="10"/>
      <c r="I170" s="10"/>
      <c r="J170" s="11"/>
      <c r="K170" s="10"/>
      <c r="L170" s="12"/>
    </row>
    <row r="171" spans="1:12" ht="14.25" customHeight="1" x14ac:dyDescent="0.25">
      <c r="A171" s="10"/>
      <c r="C171" s="10"/>
      <c r="F171" s="8"/>
      <c r="G171" s="10"/>
      <c r="H171" s="10"/>
      <c r="I171" s="10"/>
      <c r="J171" s="11"/>
      <c r="K171" s="10"/>
      <c r="L171" s="12"/>
    </row>
    <row r="172" spans="1:12" ht="14.25" customHeight="1" x14ac:dyDescent="0.25">
      <c r="A172" s="10"/>
      <c r="C172" s="10"/>
      <c r="F172" s="8"/>
      <c r="G172" s="10"/>
      <c r="H172" s="10"/>
      <c r="I172" s="10"/>
      <c r="J172" s="11"/>
      <c r="K172" s="10"/>
      <c r="L172" s="12"/>
    </row>
    <row r="173" spans="1:12" ht="14.25" customHeight="1" x14ac:dyDescent="0.25">
      <c r="A173" s="10"/>
      <c r="C173" s="10"/>
      <c r="F173" s="8"/>
      <c r="G173" s="10"/>
      <c r="H173" s="10"/>
      <c r="I173" s="10"/>
      <c r="J173" s="11"/>
      <c r="K173" s="10"/>
      <c r="L173" s="12"/>
    </row>
    <row r="174" spans="1:12" ht="14.25" customHeight="1" x14ac:dyDescent="0.25">
      <c r="A174" s="10"/>
      <c r="C174" s="10"/>
      <c r="F174" s="8"/>
      <c r="G174" s="10"/>
      <c r="H174" s="10"/>
      <c r="I174" s="10"/>
      <c r="J174" s="11"/>
      <c r="K174" s="10"/>
      <c r="L174" s="12"/>
    </row>
    <row r="175" spans="1:12" ht="14.25" customHeight="1" x14ac:dyDescent="0.25">
      <c r="A175" s="10"/>
      <c r="C175" s="10"/>
      <c r="F175" s="8"/>
      <c r="G175" s="10"/>
      <c r="H175" s="10"/>
      <c r="I175" s="10"/>
      <c r="J175" s="11"/>
      <c r="K175" s="10"/>
      <c r="L175" s="12"/>
    </row>
    <row r="176" spans="1:12" ht="14.25" customHeight="1" x14ac:dyDescent="0.25">
      <c r="A176" s="10"/>
      <c r="C176" s="10"/>
      <c r="F176" s="8"/>
      <c r="G176" s="10"/>
      <c r="H176" s="10"/>
      <c r="I176" s="10"/>
      <c r="J176" s="11"/>
      <c r="K176" s="10"/>
      <c r="L176" s="12"/>
    </row>
    <row r="177" spans="1:12" ht="14.25" customHeight="1" x14ac:dyDescent="0.25">
      <c r="A177" s="10"/>
      <c r="C177" s="10"/>
      <c r="F177" s="8"/>
      <c r="G177" s="10"/>
      <c r="H177" s="10"/>
      <c r="I177" s="10"/>
      <c r="J177" s="11"/>
      <c r="K177" s="10"/>
      <c r="L177" s="12"/>
    </row>
    <row r="178" spans="1:12" ht="14.25" customHeight="1" x14ac:dyDescent="0.25">
      <c r="A178" s="10"/>
      <c r="C178" s="10"/>
      <c r="F178" s="8"/>
      <c r="G178" s="10"/>
      <c r="H178" s="10"/>
      <c r="I178" s="10"/>
      <c r="J178" s="11"/>
      <c r="K178" s="10"/>
      <c r="L178" s="12"/>
    </row>
    <row r="179" spans="1:12" ht="14.25" customHeight="1" x14ac:dyDescent="0.25">
      <c r="A179" s="10"/>
      <c r="C179" s="10"/>
      <c r="F179" s="8"/>
      <c r="G179" s="10"/>
      <c r="H179" s="10"/>
      <c r="I179" s="10"/>
      <c r="J179" s="11"/>
      <c r="K179" s="10"/>
      <c r="L179" s="12"/>
    </row>
    <row r="180" spans="1:12" ht="14.25" customHeight="1" x14ac:dyDescent="0.25">
      <c r="A180" s="10"/>
      <c r="C180" s="10"/>
      <c r="F180" s="8"/>
      <c r="G180" s="10"/>
      <c r="H180" s="10"/>
      <c r="I180" s="10"/>
      <c r="J180" s="11"/>
      <c r="K180" s="10"/>
      <c r="L180" s="12"/>
    </row>
    <row r="181" spans="1:12" ht="14.25" customHeight="1" x14ac:dyDescent="0.25">
      <c r="A181" s="10"/>
      <c r="C181" s="10"/>
      <c r="F181" s="8"/>
      <c r="G181" s="10"/>
      <c r="H181" s="10"/>
      <c r="I181" s="10"/>
      <c r="J181" s="11"/>
      <c r="K181" s="10"/>
      <c r="L181" s="12"/>
    </row>
    <row r="182" spans="1:12" ht="14.25" customHeight="1" x14ac:dyDescent="0.25">
      <c r="A182" s="10"/>
      <c r="C182" s="10"/>
      <c r="F182" s="8"/>
      <c r="G182" s="10"/>
      <c r="H182" s="10"/>
      <c r="I182" s="10"/>
      <c r="J182" s="11"/>
      <c r="K182" s="10"/>
      <c r="L182" s="12"/>
    </row>
    <row r="183" spans="1:12" ht="14.25" customHeight="1" x14ac:dyDescent="0.25">
      <c r="A183" s="10"/>
      <c r="C183" s="10"/>
      <c r="F183" s="8"/>
      <c r="G183" s="10"/>
      <c r="H183" s="10"/>
      <c r="I183" s="10"/>
      <c r="J183" s="11"/>
      <c r="K183" s="10"/>
      <c r="L183" s="12"/>
    </row>
    <row r="184" spans="1:12" ht="14.25" customHeight="1" x14ac:dyDescent="0.25">
      <c r="A184" s="10"/>
      <c r="C184" s="10"/>
      <c r="F184" s="8"/>
      <c r="G184" s="10"/>
      <c r="H184" s="10"/>
      <c r="I184" s="10"/>
      <c r="J184" s="11"/>
      <c r="K184" s="10"/>
      <c r="L184" s="12"/>
    </row>
    <row r="185" spans="1:12" ht="14.25" customHeight="1" x14ac:dyDescent="0.25">
      <c r="A185" s="10"/>
      <c r="C185" s="10"/>
      <c r="F185" s="8"/>
      <c r="G185" s="10"/>
      <c r="H185" s="10"/>
      <c r="I185" s="10"/>
      <c r="J185" s="11"/>
      <c r="K185" s="10"/>
      <c r="L185" s="12"/>
    </row>
    <row r="186" spans="1:12" ht="14.25" customHeight="1" x14ac:dyDescent="0.25">
      <c r="A186" s="10"/>
      <c r="C186" s="10"/>
      <c r="F186" s="8"/>
      <c r="G186" s="10"/>
      <c r="H186" s="10"/>
      <c r="I186" s="10"/>
      <c r="J186" s="11"/>
      <c r="K186" s="10"/>
      <c r="L186" s="12"/>
    </row>
    <row r="187" spans="1:12" ht="14.25" customHeight="1" x14ac:dyDescent="0.25">
      <c r="A187" s="10"/>
      <c r="C187" s="10"/>
      <c r="F187" s="8"/>
      <c r="G187" s="10"/>
      <c r="H187" s="10"/>
      <c r="I187" s="10"/>
      <c r="J187" s="11"/>
      <c r="K187" s="10"/>
      <c r="L187" s="12"/>
    </row>
    <row r="188" spans="1:12" ht="14.25" customHeight="1" x14ac:dyDescent="0.25">
      <c r="A188" s="10"/>
      <c r="C188" s="10"/>
      <c r="F188" s="8"/>
      <c r="G188" s="10"/>
      <c r="H188" s="10"/>
      <c r="I188" s="10"/>
      <c r="J188" s="11"/>
      <c r="K188" s="10"/>
      <c r="L188" s="12"/>
    </row>
    <row r="189" spans="1:12" ht="14.25" customHeight="1" x14ac:dyDescent="0.25">
      <c r="A189" s="10"/>
      <c r="C189" s="10"/>
      <c r="F189" s="8"/>
      <c r="G189" s="10"/>
      <c r="H189" s="10"/>
      <c r="I189" s="10"/>
      <c r="J189" s="11"/>
      <c r="K189" s="10"/>
      <c r="L189" s="12"/>
    </row>
    <row r="190" spans="1:12" ht="14.25" customHeight="1" x14ac:dyDescent="0.25">
      <c r="A190" s="10"/>
      <c r="C190" s="10"/>
      <c r="F190" s="8"/>
      <c r="G190" s="10"/>
      <c r="H190" s="10"/>
      <c r="I190" s="10"/>
      <c r="J190" s="11"/>
      <c r="K190" s="10"/>
      <c r="L190" s="12"/>
    </row>
    <row r="191" spans="1:12" ht="14.25" customHeight="1" x14ac:dyDescent="0.25">
      <c r="A191" s="10"/>
      <c r="C191" s="10"/>
      <c r="F191" s="8"/>
      <c r="G191" s="10"/>
      <c r="H191" s="10"/>
      <c r="I191" s="10"/>
      <c r="J191" s="11"/>
      <c r="K191" s="10"/>
      <c r="L191" s="12"/>
    </row>
    <row r="192" spans="1:12" ht="14.25" customHeight="1" x14ac:dyDescent="0.25">
      <c r="A192" s="10"/>
      <c r="C192" s="10"/>
      <c r="F192" s="8"/>
      <c r="G192" s="10"/>
      <c r="H192" s="10"/>
      <c r="I192" s="10"/>
      <c r="J192" s="11"/>
      <c r="K192" s="10"/>
      <c r="L192" s="12"/>
    </row>
    <row r="193" spans="1:12" ht="14.25" customHeight="1" x14ac:dyDescent="0.25">
      <c r="A193" s="10"/>
      <c r="C193" s="10"/>
      <c r="F193" s="8"/>
      <c r="G193" s="10"/>
      <c r="H193" s="10"/>
      <c r="I193" s="10"/>
      <c r="J193" s="11"/>
      <c r="K193" s="10"/>
      <c r="L193" s="12"/>
    </row>
    <row r="194" spans="1:12" ht="14.25" customHeight="1" x14ac:dyDescent="0.25">
      <c r="A194" s="10"/>
      <c r="C194" s="10"/>
      <c r="F194" s="8"/>
      <c r="G194" s="10"/>
      <c r="H194" s="10"/>
      <c r="I194" s="10"/>
      <c r="J194" s="11"/>
      <c r="K194" s="10"/>
      <c r="L194" s="12"/>
    </row>
    <row r="195" spans="1:12" ht="14.25" customHeight="1" x14ac:dyDescent="0.25">
      <c r="A195" s="10"/>
      <c r="C195" s="10"/>
      <c r="F195" s="8"/>
      <c r="G195" s="10"/>
      <c r="H195" s="10"/>
      <c r="I195" s="10"/>
      <c r="J195" s="11"/>
      <c r="K195" s="10"/>
      <c r="L195" s="12"/>
    </row>
    <row r="196" spans="1:12" ht="14.25" customHeight="1" x14ac:dyDescent="0.25">
      <c r="A196" s="10"/>
      <c r="C196" s="10"/>
      <c r="F196" s="8"/>
      <c r="G196" s="10"/>
      <c r="H196" s="10"/>
      <c r="I196" s="10"/>
      <c r="J196" s="11"/>
      <c r="K196" s="10"/>
      <c r="L196" s="12"/>
    </row>
    <row r="197" spans="1:12" ht="14.25" customHeight="1" x14ac:dyDescent="0.25">
      <c r="A197" s="10"/>
      <c r="C197" s="10"/>
      <c r="F197" s="8"/>
      <c r="G197" s="10"/>
      <c r="H197" s="10"/>
      <c r="I197" s="10"/>
      <c r="J197" s="11"/>
      <c r="K197" s="10"/>
      <c r="L197" s="12"/>
    </row>
    <row r="198" spans="1:12" ht="14.25" customHeight="1" x14ac:dyDescent="0.25">
      <c r="A198" s="10"/>
      <c r="C198" s="10"/>
      <c r="F198" s="8"/>
      <c r="G198" s="10"/>
      <c r="H198" s="10"/>
      <c r="I198" s="10"/>
      <c r="J198" s="11"/>
      <c r="K198" s="10"/>
      <c r="L198" s="12"/>
    </row>
    <row r="199" spans="1:12" ht="14.25" customHeight="1" x14ac:dyDescent="0.25">
      <c r="A199" s="10"/>
      <c r="C199" s="10"/>
      <c r="F199" s="8"/>
      <c r="G199" s="10"/>
      <c r="H199" s="10"/>
      <c r="I199" s="10"/>
      <c r="J199" s="11"/>
      <c r="K199" s="10"/>
      <c r="L199" s="12"/>
    </row>
    <row r="200" spans="1:12" ht="14.25" customHeight="1" x14ac:dyDescent="0.25">
      <c r="A200" s="10"/>
      <c r="C200" s="10"/>
      <c r="F200" s="8"/>
      <c r="G200" s="10"/>
      <c r="H200" s="10"/>
      <c r="I200" s="10"/>
      <c r="J200" s="11"/>
      <c r="K200" s="10"/>
      <c r="L200" s="12"/>
    </row>
    <row r="201" spans="1:12" ht="14.25" customHeight="1" x14ac:dyDescent="0.25">
      <c r="A201" s="10"/>
      <c r="C201" s="10"/>
      <c r="F201" s="8"/>
      <c r="G201" s="10"/>
      <c r="H201" s="10"/>
      <c r="I201" s="10"/>
      <c r="J201" s="11"/>
      <c r="K201" s="10"/>
      <c r="L201" s="12"/>
    </row>
    <row r="202" spans="1:12" ht="14.25" customHeight="1" x14ac:dyDescent="0.25">
      <c r="A202" s="10"/>
      <c r="C202" s="10"/>
      <c r="F202" s="8"/>
      <c r="G202" s="10"/>
      <c r="H202" s="10"/>
      <c r="I202" s="10"/>
      <c r="J202" s="11"/>
      <c r="K202" s="10"/>
      <c r="L202" s="12"/>
    </row>
    <row r="203" spans="1:12" ht="14.25" customHeight="1" x14ac:dyDescent="0.25">
      <c r="A203" s="10"/>
      <c r="C203" s="10"/>
      <c r="F203" s="8"/>
      <c r="G203" s="10"/>
      <c r="H203" s="10"/>
      <c r="I203" s="10"/>
      <c r="J203" s="11"/>
      <c r="K203" s="10"/>
      <c r="L203" s="12"/>
    </row>
    <row r="204" spans="1:12" ht="14.25" customHeight="1" x14ac:dyDescent="0.25">
      <c r="A204" s="10"/>
      <c r="C204" s="10"/>
      <c r="F204" s="8"/>
      <c r="G204" s="10"/>
      <c r="H204" s="10"/>
      <c r="I204" s="10"/>
      <c r="J204" s="11"/>
      <c r="K204" s="10"/>
      <c r="L204" s="12"/>
    </row>
    <row r="205" spans="1:12" ht="14.25" customHeight="1" x14ac:dyDescent="0.25">
      <c r="A205" s="10"/>
      <c r="C205" s="10"/>
      <c r="F205" s="8"/>
      <c r="G205" s="10"/>
      <c r="H205" s="10"/>
      <c r="I205" s="10"/>
      <c r="J205" s="11"/>
      <c r="K205" s="10"/>
      <c r="L205" s="12"/>
    </row>
    <row r="206" spans="1:12" ht="14.25" customHeight="1" x14ac:dyDescent="0.25">
      <c r="A206" s="10"/>
      <c r="C206" s="10"/>
      <c r="F206" s="8"/>
      <c r="G206" s="10"/>
      <c r="H206" s="10"/>
      <c r="I206" s="10"/>
      <c r="J206" s="11"/>
      <c r="K206" s="10"/>
      <c r="L206" s="12"/>
    </row>
    <row r="207" spans="1:12" ht="14.25" customHeight="1" x14ac:dyDescent="0.25">
      <c r="A207" s="10"/>
      <c r="C207" s="10"/>
      <c r="F207" s="8"/>
      <c r="G207" s="10"/>
      <c r="H207" s="10"/>
      <c r="I207" s="10"/>
      <c r="J207" s="11"/>
      <c r="K207" s="10"/>
      <c r="L207" s="12"/>
    </row>
    <row r="208" spans="1:12" ht="14.25" customHeight="1" x14ac:dyDescent="0.25">
      <c r="A208" s="10"/>
      <c r="C208" s="10"/>
      <c r="F208" s="8"/>
      <c r="G208" s="10"/>
      <c r="H208" s="10"/>
      <c r="I208" s="10"/>
      <c r="J208" s="11"/>
      <c r="K208" s="10"/>
      <c r="L208" s="12"/>
    </row>
    <row r="209" spans="1:12" ht="14.25" customHeight="1" x14ac:dyDescent="0.25">
      <c r="A209" s="10"/>
      <c r="C209" s="10"/>
      <c r="F209" s="8"/>
      <c r="G209" s="10"/>
      <c r="H209" s="10"/>
      <c r="I209" s="10"/>
      <c r="J209" s="11"/>
      <c r="K209" s="10"/>
      <c r="L209" s="12"/>
    </row>
    <row r="210" spans="1:12" ht="14.25" customHeight="1" x14ac:dyDescent="0.25">
      <c r="A210" s="10"/>
      <c r="C210" s="10"/>
      <c r="F210" s="8"/>
      <c r="G210" s="10"/>
      <c r="H210" s="10"/>
      <c r="I210" s="10"/>
      <c r="J210" s="11"/>
      <c r="K210" s="10"/>
      <c r="L210" s="12"/>
    </row>
    <row r="211" spans="1:12" ht="14.25" customHeight="1" x14ac:dyDescent="0.25">
      <c r="A211" s="10"/>
      <c r="C211" s="10"/>
      <c r="F211" s="8"/>
      <c r="G211" s="10"/>
      <c r="H211" s="10"/>
      <c r="I211" s="10"/>
      <c r="J211" s="11"/>
      <c r="K211" s="10"/>
      <c r="L211" s="12"/>
    </row>
    <row r="212" spans="1:12" ht="14.25" customHeight="1" x14ac:dyDescent="0.25">
      <c r="A212" s="10"/>
      <c r="C212" s="10"/>
      <c r="F212" s="8"/>
      <c r="G212" s="10"/>
      <c r="H212" s="10"/>
      <c r="I212" s="10"/>
      <c r="J212" s="11"/>
      <c r="K212" s="10"/>
      <c r="L212" s="12"/>
    </row>
    <row r="213" spans="1:12" ht="14.25" customHeight="1" x14ac:dyDescent="0.25">
      <c r="A213" s="10"/>
      <c r="C213" s="10"/>
      <c r="F213" s="8"/>
      <c r="G213" s="10"/>
      <c r="H213" s="10"/>
      <c r="I213" s="10"/>
      <c r="J213" s="11"/>
      <c r="K213" s="10"/>
      <c r="L213" s="12"/>
    </row>
    <row r="214" spans="1:12" ht="14.25" customHeight="1" x14ac:dyDescent="0.25">
      <c r="A214" s="10"/>
      <c r="C214" s="10"/>
      <c r="F214" s="8"/>
      <c r="G214" s="10"/>
      <c r="H214" s="10"/>
      <c r="I214" s="10"/>
      <c r="J214" s="11"/>
      <c r="K214" s="10"/>
      <c r="L214" s="12"/>
    </row>
    <row r="215" spans="1:12" ht="14.25" customHeight="1" x14ac:dyDescent="0.25">
      <c r="A215" s="10"/>
      <c r="C215" s="10"/>
      <c r="F215" s="8"/>
      <c r="G215" s="10"/>
      <c r="H215" s="10"/>
      <c r="I215" s="10"/>
      <c r="J215" s="11"/>
      <c r="K215" s="10"/>
      <c r="L215" s="12"/>
    </row>
    <row r="216" spans="1:12" ht="14.25" customHeight="1" x14ac:dyDescent="0.25">
      <c r="A216" s="10"/>
      <c r="C216" s="10"/>
      <c r="F216" s="8"/>
      <c r="G216" s="10"/>
      <c r="H216" s="10"/>
      <c r="I216" s="10"/>
      <c r="J216" s="11"/>
      <c r="K216" s="10"/>
      <c r="L216" s="12"/>
    </row>
    <row r="217" spans="1:12" ht="14.25" customHeight="1" x14ac:dyDescent="0.25">
      <c r="A217" s="10"/>
      <c r="C217" s="10"/>
      <c r="F217" s="8"/>
      <c r="G217" s="10"/>
      <c r="H217" s="10"/>
      <c r="I217" s="10"/>
      <c r="J217" s="11"/>
      <c r="K217" s="10"/>
      <c r="L217" s="12"/>
    </row>
    <row r="218" spans="1:12" ht="14.25" customHeight="1" x14ac:dyDescent="0.25">
      <c r="A218" s="10"/>
      <c r="C218" s="10"/>
      <c r="F218" s="8"/>
      <c r="G218" s="10"/>
      <c r="H218" s="10"/>
      <c r="I218" s="10"/>
      <c r="J218" s="11"/>
      <c r="K218" s="10"/>
      <c r="L218" s="12"/>
    </row>
    <row r="219" spans="1:12" ht="14.25" customHeight="1" x14ac:dyDescent="0.25">
      <c r="A219" s="10"/>
      <c r="C219" s="10"/>
      <c r="F219" s="8"/>
      <c r="G219" s="10"/>
      <c r="H219" s="10"/>
      <c r="I219" s="10"/>
      <c r="J219" s="11"/>
      <c r="K219" s="10"/>
      <c r="L219" s="12"/>
    </row>
    <row r="220" spans="1:12" ht="14.25" customHeight="1" x14ac:dyDescent="0.25">
      <c r="A220" s="10"/>
      <c r="C220" s="10"/>
      <c r="F220" s="8"/>
      <c r="G220" s="10"/>
      <c r="H220" s="10"/>
      <c r="I220" s="10"/>
      <c r="J220" s="11"/>
      <c r="K220" s="10"/>
      <c r="L220" s="12"/>
    </row>
    <row r="221" spans="1:12" ht="14.25" customHeight="1" x14ac:dyDescent="0.25">
      <c r="A221" s="10"/>
      <c r="C221" s="10"/>
      <c r="F221" s="8"/>
      <c r="G221" s="10"/>
      <c r="H221" s="10"/>
      <c r="I221" s="10"/>
      <c r="J221" s="11"/>
      <c r="K221" s="10"/>
      <c r="L221" s="12"/>
    </row>
    <row r="222" spans="1:12" ht="14.25" customHeight="1" x14ac:dyDescent="0.25">
      <c r="A222" s="10"/>
      <c r="C222" s="10"/>
      <c r="F222" s="8"/>
      <c r="G222" s="10"/>
      <c r="H222" s="10"/>
      <c r="I222" s="10"/>
      <c r="J222" s="11"/>
      <c r="K222" s="10"/>
      <c r="L222" s="12"/>
    </row>
    <row r="223" spans="1:12" ht="14.25" customHeight="1" x14ac:dyDescent="0.25">
      <c r="A223" s="10"/>
      <c r="C223" s="10"/>
      <c r="F223" s="8"/>
      <c r="G223" s="10"/>
      <c r="H223" s="10"/>
      <c r="I223" s="10"/>
      <c r="J223" s="11"/>
      <c r="K223" s="10"/>
      <c r="L223" s="12"/>
    </row>
    <row r="224" spans="1:12" ht="14.25" customHeight="1" x14ac:dyDescent="0.25">
      <c r="A224" s="10"/>
      <c r="C224" s="10"/>
      <c r="F224" s="8"/>
      <c r="G224" s="10"/>
      <c r="H224" s="10"/>
      <c r="I224" s="10"/>
      <c r="J224" s="11"/>
      <c r="K224" s="10"/>
      <c r="L224" s="12"/>
    </row>
    <row r="225" spans="1:12" ht="14.25" customHeight="1" x14ac:dyDescent="0.25">
      <c r="A225" s="10"/>
      <c r="C225" s="10"/>
      <c r="F225" s="8"/>
      <c r="G225" s="10"/>
      <c r="H225" s="10"/>
      <c r="I225" s="10"/>
      <c r="J225" s="11"/>
      <c r="K225" s="10"/>
      <c r="L225" s="12"/>
    </row>
    <row r="226" spans="1:12" ht="14.25" customHeight="1" x14ac:dyDescent="0.25">
      <c r="A226" s="10"/>
      <c r="C226" s="10"/>
      <c r="F226" s="8"/>
      <c r="G226" s="10"/>
      <c r="H226" s="10"/>
      <c r="I226" s="10"/>
      <c r="J226" s="11"/>
      <c r="K226" s="10"/>
      <c r="L226" s="12"/>
    </row>
    <row r="227" spans="1:12" ht="14.25" customHeight="1" x14ac:dyDescent="0.25">
      <c r="A227" s="10"/>
      <c r="C227" s="10"/>
      <c r="F227" s="8"/>
      <c r="G227" s="10"/>
      <c r="H227" s="10"/>
      <c r="I227" s="10"/>
      <c r="J227" s="11"/>
      <c r="K227" s="10"/>
      <c r="L227" s="12"/>
    </row>
    <row r="228" spans="1:12" ht="14.25" customHeight="1" x14ac:dyDescent="0.25">
      <c r="A228" s="10"/>
      <c r="C228" s="10"/>
      <c r="F228" s="8"/>
      <c r="G228" s="10"/>
      <c r="H228" s="10"/>
      <c r="I228" s="10"/>
      <c r="J228" s="11"/>
      <c r="K228" s="10"/>
      <c r="L228" s="12"/>
    </row>
    <row r="229" spans="1:12" ht="14.25" customHeight="1" x14ac:dyDescent="0.25">
      <c r="A229" s="10"/>
      <c r="C229" s="10"/>
      <c r="F229" s="8"/>
      <c r="G229" s="10"/>
      <c r="H229" s="10"/>
      <c r="I229" s="10"/>
      <c r="J229" s="11"/>
      <c r="K229" s="10"/>
      <c r="L229" s="12"/>
    </row>
    <row r="230" spans="1:12" ht="14.25" customHeight="1" x14ac:dyDescent="0.25">
      <c r="A230" s="10"/>
      <c r="C230" s="10"/>
      <c r="F230" s="8"/>
      <c r="G230" s="10"/>
      <c r="H230" s="10"/>
      <c r="I230" s="10"/>
      <c r="J230" s="11"/>
      <c r="K230" s="10"/>
      <c r="L230" s="12"/>
    </row>
    <row r="231" spans="1:12" ht="14.25" customHeight="1" x14ac:dyDescent="0.25">
      <c r="A231" s="10"/>
      <c r="C231" s="10"/>
      <c r="F231" s="8"/>
      <c r="G231" s="10"/>
      <c r="H231" s="10"/>
      <c r="I231" s="10"/>
      <c r="J231" s="11"/>
      <c r="K231" s="10"/>
      <c r="L231" s="12"/>
    </row>
    <row r="232" spans="1:12" ht="14.25" customHeight="1" x14ac:dyDescent="0.25">
      <c r="A232" s="10"/>
      <c r="C232" s="10"/>
      <c r="F232" s="8"/>
      <c r="G232" s="10"/>
      <c r="H232" s="10"/>
      <c r="I232" s="10"/>
      <c r="J232" s="11"/>
      <c r="K232" s="10"/>
      <c r="L232" s="12"/>
    </row>
    <row r="233" spans="1:12" ht="14.25" customHeight="1" x14ac:dyDescent="0.25">
      <c r="A233" s="10"/>
      <c r="C233" s="10"/>
      <c r="F233" s="8"/>
      <c r="G233" s="10"/>
      <c r="H233" s="10"/>
      <c r="I233" s="10"/>
      <c r="J233" s="11"/>
      <c r="K233" s="10"/>
      <c r="L233" s="12"/>
    </row>
    <row r="234" spans="1:12" ht="14.25" customHeight="1" x14ac:dyDescent="0.25">
      <c r="A234" s="10"/>
      <c r="C234" s="10"/>
      <c r="F234" s="8"/>
      <c r="G234" s="10"/>
      <c r="H234" s="10"/>
      <c r="I234" s="10"/>
      <c r="J234" s="11"/>
      <c r="K234" s="10"/>
      <c r="L234" s="12"/>
    </row>
    <row r="235" spans="1:12" ht="14.25" customHeight="1" x14ac:dyDescent="0.25">
      <c r="A235" s="10"/>
      <c r="C235" s="10"/>
      <c r="F235" s="8"/>
      <c r="G235" s="10"/>
      <c r="H235" s="10"/>
      <c r="I235" s="10"/>
      <c r="J235" s="11"/>
      <c r="K235" s="10"/>
      <c r="L235" s="12"/>
    </row>
    <row r="236" spans="1:12" ht="14.25" customHeight="1" x14ac:dyDescent="0.25">
      <c r="A236" s="10"/>
      <c r="C236" s="10"/>
      <c r="F236" s="8"/>
      <c r="G236" s="10"/>
      <c r="H236" s="10"/>
      <c r="I236" s="10"/>
      <c r="J236" s="11"/>
      <c r="K236" s="10"/>
      <c r="L236" s="12"/>
    </row>
    <row r="237" spans="1:12" ht="14.25" customHeight="1" x14ac:dyDescent="0.25">
      <c r="A237" s="10"/>
      <c r="C237" s="10"/>
      <c r="F237" s="8"/>
      <c r="G237" s="10"/>
      <c r="H237" s="10"/>
      <c r="I237" s="10"/>
      <c r="J237" s="11"/>
      <c r="K237" s="10"/>
      <c r="L237" s="12"/>
    </row>
    <row r="238" spans="1:12" ht="14.25" customHeight="1" x14ac:dyDescent="0.25">
      <c r="A238" s="10"/>
      <c r="C238" s="10"/>
      <c r="F238" s="8"/>
      <c r="G238" s="10"/>
      <c r="H238" s="10"/>
      <c r="I238" s="10"/>
      <c r="J238" s="11"/>
      <c r="K238" s="10"/>
      <c r="L238" s="12"/>
    </row>
    <row r="239" spans="1:12" ht="14.25" customHeight="1" x14ac:dyDescent="0.25">
      <c r="A239" s="10"/>
      <c r="C239" s="10"/>
      <c r="F239" s="8"/>
      <c r="G239" s="10"/>
      <c r="H239" s="10"/>
      <c r="I239" s="10"/>
      <c r="J239" s="11"/>
      <c r="K239" s="10"/>
      <c r="L239" s="12"/>
    </row>
    <row r="240" spans="1:12" ht="14.25" customHeight="1" x14ac:dyDescent="0.25">
      <c r="A240" s="10"/>
      <c r="C240" s="10"/>
      <c r="F240" s="8"/>
      <c r="G240" s="10"/>
      <c r="H240" s="10"/>
      <c r="I240" s="10"/>
      <c r="J240" s="11"/>
      <c r="K240" s="10"/>
      <c r="L240" s="12"/>
    </row>
    <row r="241" spans="1:12" ht="14.25" customHeight="1" x14ac:dyDescent="0.25">
      <c r="A241" s="10"/>
      <c r="C241" s="10"/>
      <c r="F241" s="8"/>
      <c r="G241" s="10"/>
      <c r="H241" s="10"/>
      <c r="I241" s="10"/>
      <c r="J241" s="11"/>
      <c r="K241" s="10"/>
      <c r="L241" s="12"/>
    </row>
    <row r="242" spans="1:12" ht="14.25" customHeight="1" x14ac:dyDescent="0.25">
      <c r="A242" s="10"/>
      <c r="C242" s="10"/>
      <c r="F242" s="8"/>
      <c r="G242" s="10"/>
      <c r="H242" s="10"/>
      <c r="I242" s="10"/>
      <c r="J242" s="11"/>
      <c r="K242" s="10"/>
      <c r="L242" s="12"/>
    </row>
    <row r="243" spans="1:12" ht="14.25" customHeight="1" x14ac:dyDescent="0.25">
      <c r="A243" s="10"/>
      <c r="C243" s="10"/>
      <c r="F243" s="8"/>
      <c r="G243" s="10"/>
      <c r="H243" s="10"/>
      <c r="I243" s="10"/>
      <c r="J243" s="11"/>
      <c r="K243" s="10"/>
      <c r="L243" s="12"/>
    </row>
    <row r="244" spans="1:12" ht="14.25" customHeight="1" x14ac:dyDescent="0.25">
      <c r="A244" s="10"/>
      <c r="C244" s="10"/>
      <c r="F244" s="8"/>
      <c r="G244" s="10"/>
      <c r="H244" s="10"/>
      <c r="I244" s="10"/>
      <c r="J244" s="11"/>
      <c r="K244" s="10"/>
      <c r="L244" s="12"/>
    </row>
    <row r="245" spans="1:12" ht="14.25" customHeight="1" x14ac:dyDescent="0.25">
      <c r="A245" s="10"/>
      <c r="C245" s="10"/>
      <c r="F245" s="8"/>
      <c r="G245" s="10"/>
      <c r="H245" s="10"/>
      <c r="I245" s="10"/>
      <c r="J245" s="11"/>
      <c r="K245" s="10"/>
      <c r="L245" s="12"/>
    </row>
    <row r="246" spans="1:12" ht="14.25" customHeight="1" x14ac:dyDescent="0.25">
      <c r="A246" s="10"/>
      <c r="C246" s="10"/>
      <c r="F246" s="8"/>
      <c r="G246" s="10"/>
      <c r="H246" s="10"/>
      <c r="I246" s="10"/>
      <c r="J246" s="11"/>
      <c r="K246" s="10"/>
      <c r="L246" s="12"/>
    </row>
    <row r="247" spans="1:12" ht="14.25" customHeight="1" x14ac:dyDescent="0.25">
      <c r="A247" s="10"/>
      <c r="C247" s="10"/>
      <c r="F247" s="8"/>
      <c r="G247" s="10"/>
      <c r="H247" s="10"/>
      <c r="I247" s="10"/>
      <c r="J247" s="11"/>
      <c r="K247" s="10"/>
      <c r="L247" s="12"/>
    </row>
    <row r="248" spans="1:12" ht="14.25" customHeight="1" x14ac:dyDescent="0.25">
      <c r="A248" s="10"/>
      <c r="C248" s="10"/>
      <c r="F248" s="8"/>
      <c r="G248" s="10"/>
      <c r="H248" s="10"/>
      <c r="I248" s="10"/>
      <c r="J248" s="11"/>
      <c r="K248" s="10"/>
      <c r="L248" s="12"/>
    </row>
    <row r="249" spans="1:12" ht="14.25" customHeight="1" x14ac:dyDescent="0.25">
      <c r="A249" s="10"/>
      <c r="C249" s="10"/>
      <c r="F249" s="8"/>
      <c r="G249" s="10"/>
      <c r="H249" s="10"/>
      <c r="I249" s="10"/>
      <c r="J249" s="11"/>
      <c r="K249" s="10"/>
      <c r="L249" s="12"/>
    </row>
    <row r="250" spans="1:12" ht="14.25" customHeight="1" x14ac:dyDescent="0.25">
      <c r="A250" s="10"/>
      <c r="C250" s="10"/>
      <c r="F250" s="8"/>
      <c r="G250" s="10"/>
      <c r="H250" s="10"/>
      <c r="I250" s="10"/>
      <c r="J250" s="11"/>
      <c r="K250" s="10"/>
      <c r="L250" s="12"/>
    </row>
    <row r="251" spans="1:12" ht="14.25" customHeight="1" x14ac:dyDescent="0.25">
      <c r="A251" s="10"/>
      <c r="C251" s="10"/>
      <c r="F251" s="8"/>
      <c r="G251" s="10"/>
      <c r="H251" s="10"/>
      <c r="I251" s="10"/>
      <c r="J251" s="11"/>
      <c r="K251" s="10"/>
      <c r="L251" s="12"/>
    </row>
    <row r="252" spans="1:12" ht="14.25" customHeight="1" x14ac:dyDescent="0.25">
      <c r="A252" s="10"/>
      <c r="C252" s="10"/>
      <c r="F252" s="8"/>
      <c r="G252" s="10"/>
      <c r="H252" s="10"/>
      <c r="I252" s="10"/>
      <c r="J252" s="11"/>
      <c r="K252" s="10"/>
      <c r="L252" s="12"/>
    </row>
    <row r="253" spans="1:12" ht="14.25" customHeight="1" x14ac:dyDescent="0.25">
      <c r="A253" s="10"/>
      <c r="C253" s="10"/>
      <c r="F253" s="8"/>
      <c r="G253" s="10"/>
      <c r="H253" s="10"/>
      <c r="I253" s="10"/>
      <c r="J253" s="11"/>
      <c r="K253" s="10"/>
      <c r="L253" s="12"/>
    </row>
    <row r="254" spans="1:12" ht="14.25" customHeight="1" x14ac:dyDescent="0.25">
      <c r="A254" s="10"/>
      <c r="C254" s="10"/>
      <c r="F254" s="8"/>
      <c r="G254" s="10"/>
      <c r="H254" s="10"/>
      <c r="I254" s="10"/>
      <c r="J254" s="11"/>
      <c r="K254" s="10"/>
      <c r="L254" s="12"/>
    </row>
    <row r="255" spans="1:12" ht="14.25" customHeight="1" x14ac:dyDescent="0.25">
      <c r="A255" s="10"/>
      <c r="C255" s="10"/>
      <c r="F255" s="8"/>
      <c r="G255" s="10"/>
      <c r="H255" s="10"/>
      <c r="I255" s="10"/>
      <c r="J255" s="11"/>
      <c r="K255" s="10"/>
      <c r="L255" s="12"/>
    </row>
    <row r="256" spans="1:12" ht="14.25" customHeight="1" x14ac:dyDescent="0.25">
      <c r="A256" s="10"/>
      <c r="C256" s="10"/>
      <c r="F256" s="8"/>
      <c r="G256" s="10"/>
      <c r="H256" s="10"/>
      <c r="I256" s="10"/>
      <c r="J256" s="11"/>
      <c r="K256" s="10"/>
      <c r="L256" s="12"/>
    </row>
    <row r="257" spans="1:12" ht="14.25" customHeight="1" x14ac:dyDescent="0.25">
      <c r="A257" s="10"/>
      <c r="C257" s="10"/>
      <c r="F257" s="8"/>
      <c r="G257" s="10"/>
      <c r="H257" s="10"/>
      <c r="I257" s="10"/>
      <c r="J257" s="11"/>
      <c r="K257" s="10"/>
      <c r="L257" s="12"/>
    </row>
    <row r="258" spans="1:12" ht="14.25" customHeight="1" x14ac:dyDescent="0.25">
      <c r="A258" s="10"/>
      <c r="C258" s="10"/>
      <c r="F258" s="8"/>
      <c r="G258" s="10"/>
      <c r="H258" s="10"/>
      <c r="I258" s="10"/>
      <c r="J258" s="11"/>
      <c r="K258" s="10"/>
      <c r="L258" s="12"/>
    </row>
    <row r="259" spans="1:12" ht="14.25" customHeight="1" x14ac:dyDescent="0.25">
      <c r="A259" s="10"/>
      <c r="C259" s="10"/>
      <c r="F259" s="8"/>
      <c r="G259" s="10"/>
      <c r="H259" s="10"/>
      <c r="I259" s="10"/>
      <c r="J259" s="11"/>
      <c r="K259" s="10"/>
      <c r="L259" s="12"/>
    </row>
    <row r="260" spans="1:12" ht="14.25" customHeight="1" x14ac:dyDescent="0.25">
      <c r="A260" s="10"/>
      <c r="C260" s="10"/>
      <c r="F260" s="8"/>
      <c r="G260" s="10"/>
      <c r="H260" s="10"/>
      <c r="I260" s="10"/>
      <c r="J260" s="11"/>
      <c r="K260" s="10"/>
      <c r="L260" s="12"/>
    </row>
    <row r="261" spans="1:12" ht="14.25" customHeight="1" x14ac:dyDescent="0.25">
      <c r="A261" s="10"/>
      <c r="C261" s="10"/>
      <c r="F261" s="8"/>
      <c r="G261" s="10"/>
      <c r="H261" s="10"/>
      <c r="I261" s="10"/>
      <c r="J261" s="11"/>
      <c r="K261" s="10"/>
      <c r="L261" s="12"/>
    </row>
    <row r="262" spans="1:12" ht="14.25" customHeight="1" x14ac:dyDescent="0.25">
      <c r="A262" s="10"/>
      <c r="C262" s="10"/>
      <c r="F262" s="8"/>
      <c r="G262" s="10"/>
      <c r="H262" s="10"/>
      <c r="I262" s="10"/>
      <c r="J262" s="11"/>
      <c r="K262" s="10"/>
      <c r="L262" s="12"/>
    </row>
    <row r="263" spans="1:12" ht="14.25" customHeight="1" x14ac:dyDescent="0.25">
      <c r="A263" s="10"/>
      <c r="C263" s="10"/>
      <c r="F263" s="8"/>
      <c r="G263" s="10"/>
      <c r="H263" s="10"/>
      <c r="I263" s="10"/>
      <c r="J263" s="11"/>
      <c r="K263" s="10"/>
      <c r="L263" s="12"/>
    </row>
    <row r="264" spans="1:12" ht="14.25" customHeight="1" x14ac:dyDescent="0.25">
      <c r="A264" s="10"/>
      <c r="C264" s="10"/>
      <c r="F264" s="8"/>
      <c r="G264" s="10"/>
      <c r="H264" s="10"/>
      <c r="I264" s="10"/>
      <c r="J264" s="11"/>
      <c r="K264" s="10"/>
      <c r="L264" s="12"/>
    </row>
    <row r="265" spans="1:12" ht="14.25" customHeight="1" x14ac:dyDescent="0.25">
      <c r="A265" s="10"/>
      <c r="C265" s="10"/>
      <c r="F265" s="8"/>
      <c r="G265" s="10"/>
      <c r="H265" s="10"/>
      <c r="I265" s="10"/>
      <c r="J265" s="11"/>
      <c r="K265" s="10"/>
      <c r="L265" s="12"/>
    </row>
    <row r="266" spans="1:12" ht="14.25" customHeight="1" x14ac:dyDescent="0.25">
      <c r="A266" s="10"/>
      <c r="C266" s="10"/>
      <c r="F266" s="8"/>
      <c r="G266" s="10"/>
      <c r="H266" s="10"/>
      <c r="I266" s="10"/>
      <c r="J266" s="11"/>
      <c r="K266" s="10"/>
      <c r="L266" s="12"/>
    </row>
    <row r="267" spans="1:12" ht="14.25" customHeight="1" x14ac:dyDescent="0.25">
      <c r="A267" s="10"/>
      <c r="C267" s="10"/>
      <c r="F267" s="8"/>
      <c r="G267" s="10"/>
      <c r="H267" s="10"/>
      <c r="I267" s="10"/>
      <c r="J267" s="11"/>
      <c r="K267" s="10"/>
      <c r="L267" s="12"/>
    </row>
    <row r="268" spans="1:12" ht="14.25" customHeight="1" x14ac:dyDescent="0.25">
      <c r="A268" s="10"/>
      <c r="C268" s="10"/>
      <c r="F268" s="8"/>
      <c r="G268" s="10"/>
      <c r="H268" s="10"/>
      <c r="I268" s="10"/>
      <c r="J268" s="11"/>
      <c r="K268" s="10"/>
      <c r="L268" s="12"/>
    </row>
    <row r="269" spans="1:12" ht="14.25" customHeight="1" x14ac:dyDescent="0.25">
      <c r="A269" s="10"/>
      <c r="C269" s="10"/>
      <c r="F269" s="8"/>
      <c r="G269" s="10"/>
      <c r="H269" s="10"/>
      <c r="I269" s="10"/>
      <c r="J269" s="11"/>
      <c r="K269" s="10"/>
      <c r="L269" s="12"/>
    </row>
    <row r="270" spans="1:12" ht="14.25" customHeight="1" x14ac:dyDescent="0.25">
      <c r="A270" s="10"/>
      <c r="C270" s="10"/>
      <c r="F270" s="8"/>
      <c r="G270" s="10"/>
      <c r="H270" s="10"/>
      <c r="I270" s="10"/>
      <c r="J270" s="11"/>
      <c r="K270" s="10"/>
      <c r="L270" s="12"/>
    </row>
    <row r="271" spans="1:12" ht="14.25" customHeight="1" x14ac:dyDescent="0.25">
      <c r="A271" s="10"/>
      <c r="C271" s="10"/>
      <c r="F271" s="8"/>
      <c r="G271" s="10"/>
      <c r="H271" s="10"/>
      <c r="I271" s="10"/>
      <c r="J271" s="11"/>
      <c r="K271" s="10"/>
      <c r="L271" s="12"/>
    </row>
    <row r="272" spans="1:12" ht="14.25" customHeight="1" x14ac:dyDescent="0.25">
      <c r="A272" s="10"/>
      <c r="C272" s="10"/>
      <c r="F272" s="8"/>
      <c r="G272" s="10"/>
      <c r="H272" s="10"/>
      <c r="I272" s="10"/>
      <c r="J272" s="11"/>
      <c r="K272" s="10"/>
      <c r="L272" s="12"/>
    </row>
    <row r="273" spans="1:12" ht="14.25" customHeight="1" x14ac:dyDescent="0.25">
      <c r="A273" s="10"/>
      <c r="C273" s="10"/>
      <c r="F273" s="8"/>
      <c r="G273" s="10"/>
      <c r="H273" s="10"/>
      <c r="I273" s="10"/>
      <c r="J273" s="11"/>
      <c r="K273" s="10"/>
      <c r="L273" s="12"/>
    </row>
    <row r="274" spans="1:12" ht="14.25" customHeight="1" x14ac:dyDescent="0.25">
      <c r="A274" s="10"/>
      <c r="C274" s="10"/>
      <c r="F274" s="8"/>
      <c r="G274" s="10"/>
      <c r="H274" s="10"/>
      <c r="I274" s="10"/>
      <c r="J274" s="11"/>
      <c r="K274" s="10"/>
      <c r="L274" s="12"/>
    </row>
    <row r="275" spans="1:12" ht="14.25" customHeight="1" x14ac:dyDescent="0.25">
      <c r="A275" s="10"/>
      <c r="C275" s="10"/>
      <c r="F275" s="8"/>
      <c r="G275" s="10"/>
      <c r="H275" s="10"/>
      <c r="I275" s="10"/>
      <c r="J275" s="11"/>
      <c r="K275" s="10"/>
      <c r="L275" s="12"/>
    </row>
    <row r="276" spans="1:12" ht="14.25" customHeight="1" x14ac:dyDescent="0.25">
      <c r="A276" s="10"/>
      <c r="C276" s="10"/>
      <c r="F276" s="8"/>
      <c r="G276" s="10"/>
      <c r="H276" s="10"/>
      <c r="I276" s="10"/>
      <c r="J276" s="11"/>
      <c r="K276" s="10"/>
      <c r="L276" s="12"/>
    </row>
    <row r="277" spans="1:12" ht="14.25" customHeight="1" x14ac:dyDescent="0.25">
      <c r="A277" s="10"/>
      <c r="C277" s="10"/>
      <c r="F277" s="8"/>
      <c r="G277" s="10"/>
      <c r="H277" s="10"/>
      <c r="I277" s="10"/>
      <c r="J277" s="11"/>
      <c r="K277" s="10"/>
      <c r="L277" s="12"/>
    </row>
    <row r="278" spans="1:12" ht="14.25" customHeight="1" x14ac:dyDescent="0.25">
      <c r="A278" s="10"/>
      <c r="C278" s="10"/>
      <c r="F278" s="8"/>
      <c r="G278" s="10"/>
      <c r="H278" s="10"/>
      <c r="I278" s="10"/>
      <c r="J278" s="11"/>
      <c r="K278" s="10"/>
      <c r="L278" s="12"/>
    </row>
    <row r="279" spans="1:12" ht="14.25" customHeight="1" x14ac:dyDescent="0.25">
      <c r="A279" s="10"/>
      <c r="C279" s="10"/>
      <c r="F279" s="8"/>
      <c r="G279" s="10"/>
      <c r="H279" s="10"/>
      <c r="I279" s="10"/>
      <c r="J279" s="11"/>
      <c r="K279" s="10"/>
      <c r="L279" s="12"/>
    </row>
    <row r="280" spans="1:12" ht="14.25" customHeight="1" x14ac:dyDescent="0.25">
      <c r="A280" s="10"/>
      <c r="C280" s="10"/>
      <c r="F280" s="8"/>
      <c r="G280" s="10"/>
      <c r="H280" s="10"/>
      <c r="I280" s="10"/>
      <c r="J280" s="11"/>
      <c r="K280" s="10"/>
      <c r="L280" s="12"/>
    </row>
    <row r="281" spans="1:12" ht="14.25" customHeight="1" x14ac:dyDescent="0.25">
      <c r="A281" s="10"/>
      <c r="C281" s="10"/>
      <c r="F281" s="8"/>
      <c r="G281" s="10"/>
      <c r="H281" s="10"/>
      <c r="I281" s="10"/>
      <c r="J281" s="11"/>
      <c r="K281" s="10"/>
      <c r="L281" s="12"/>
    </row>
    <row r="282" spans="1:12" ht="14.25" customHeight="1" x14ac:dyDescent="0.25">
      <c r="A282" s="10"/>
      <c r="C282" s="10"/>
      <c r="F282" s="8"/>
      <c r="G282" s="10"/>
      <c r="H282" s="10"/>
      <c r="I282" s="10"/>
      <c r="J282" s="11"/>
      <c r="K282" s="10"/>
      <c r="L282" s="12"/>
    </row>
    <row r="283" spans="1:12" ht="14.25" customHeight="1" x14ac:dyDescent="0.25">
      <c r="A283" s="10"/>
      <c r="C283" s="10"/>
      <c r="F283" s="8"/>
      <c r="G283" s="10"/>
      <c r="H283" s="10"/>
      <c r="I283" s="10"/>
      <c r="J283" s="11"/>
      <c r="K283" s="10"/>
      <c r="L283" s="12"/>
    </row>
    <row r="284" spans="1:12" ht="14.25" customHeight="1" x14ac:dyDescent="0.25">
      <c r="A284" s="10"/>
      <c r="C284" s="10"/>
      <c r="F284" s="8"/>
      <c r="G284" s="10"/>
      <c r="H284" s="10"/>
      <c r="I284" s="10"/>
      <c r="J284" s="11"/>
      <c r="K284" s="10"/>
      <c r="L284" s="12"/>
    </row>
    <row r="285" spans="1:12" ht="14.25" customHeight="1" x14ac:dyDescent="0.25">
      <c r="A285" s="10"/>
      <c r="C285" s="10"/>
      <c r="F285" s="8"/>
      <c r="G285" s="10"/>
      <c r="H285" s="10"/>
      <c r="I285" s="10"/>
      <c r="J285" s="11"/>
      <c r="K285" s="10"/>
      <c r="L285" s="12"/>
    </row>
    <row r="286" spans="1:12" ht="14.25" customHeight="1" x14ac:dyDescent="0.25">
      <c r="A286" s="10"/>
      <c r="C286" s="10"/>
      <c r="F286" s="8"/>
      <c r="G286" s="10"/>
      <c r="H286" s="10"/>
      <c r="I286" s="10"/>
      <c r="J286" s="11"/>
      <c r="K286" s="10"/>
      <c r="L286" s="12"/>
    </row>
    <row r="287" spans="1:12" ht="14.25" customHeight="1" x14ac:dyDescent="0.25">
      <c r="A287" s="10"/>
      <c r="C287" s="10"/>
      <c r="F287" s="8"/>
      <c r="G287" s="10"/>
      <c r="H287" s="10"/>
      <c r="I287" s="10"/>
      <c r="J287" s="11"/>
      <c r="K287" s="10"/>
      <c r="L287" s="12"/>
    </row>
    <row r="288" spans="1:12" ht="14.25" customHeight="1" x14ac:dyDescent="0.25">
      <c r="A288" s="10"/>
      <c r="C288" s="10"/>
      <c r="F288" s="8"/>
      <c r="G288" s="10"/>
      <c r="H288" s="10"/>
      <c r="I288" s="10"/>
      <c r="J288" s="11"/>
      <c r="K288" s="10"/>
      <c r="L288" s="12"/>
    </row>
    <row r="289" spans="1:12" ht="14.25" customHeight="1" x14ac:dyDescent="0.25">
      <c r="A289" s="10"/>
      <c r="C289" s="10"/>
      <c r="F289" s="8"/>
      <c r="G289" s="10"/>
      <c r="H289" s="10"/>
      <c r="I289" s="10"/>
      <c r="J289" s="11"/>
      <c r="K289" s="10"/>
      <c r="L289" s="12"/>
    </row>
    <row r="290" spans="1:12" ht="14.25" customHeight="1" x14ac:dyDescent="0.25">
      <c r="A290" s="10"/>
      <c r="C290" s="10"/>
      <c r="F290" s="8"/>
      <c r="G290" s="10"/>
      <c r="H290" s="10"/>
      <c r="I290" s="10"/>
      <c r="J290" s="11"/>
      <c r="K290" s="10"/>
      <c r="L290" s="12"/>
    </row>
    <row r="291" spans="1:12" ht="14.25" customHeight="1" x14ac:dyDescent="0.25">
      <c r="A291" s="10"/>
      <c r="C291" s="10"/>
      <c r="F291" s="8"/>
      <c r="G291" s="10"/>
      <c r="H291" s="10"/>
      <c r="I291" s="10"/>
      <c r="J291" s="11"/>
      <c r="K291" s="10"/>
      <c r="L291" s="12"/>
    </row>
    <row r="292" spans="1:12" ht="14.25" customHeight="1" x14ac:dyDescent="0.25">
      <c r="A292" s="10"/>
      <c r="C292" s="10"/>
      <c r="F292" s="8"/>
      <c r="G292" s="10"/>
      <c r="H292" s="10"/>
      <c r="I292" s="10"/>
      <c r="J292" s="11"/>
      <c r="K292" s="10"/>
      <c r="L292" s="12"/>
    </row>
    <row r="293" spans="1:12" ht="14.25" customHeight="1" x14ac:dyDescent="0.25">
      <c r="A293" s="10"/>
      <c r="C293" s="10"/>
      <c r="F293" s="8"/>
      <c r="G293" s="10"/>
      <c r="H293" s="10"/>
      <c r="I293" s="10"/>
      <c r="J293" s="11"/>
      <c r="K293" s="10"/>
      <c r="L293" s="12"/>
    </row>
    <row r="294" spans="1:12" ht="14.25" customHeight="1" x14ac:dyDescent="0.25">
      <c r="A294" s="10"/>
      <c r="C294" s="10"/>
      <c r="F294" s="8"/>
      <c r="G294" s="10"/>
      <c r="H294" s="10"/>
      <c r="I294" s="10"/>
      <c r="J294" s="11"/>
      <c r="K294" s="10"/>
      <c r="L294" s="12"/>
    </row>
    <row r="295" spans="1:12" ht="14.25" customHeight="1" x14ac:dyDescent="0.25">
      <c r="A295" s="10"/>
      <c r="C295" s="10"/>
      <c r="F295" s="8"/>
      <c r="G295" s="10"/>
      <c r="H295" s="10"/>
      <c r="I295" s="10"/>
      <c r="J295" s="11"/>
      <c r="K295" s="10"/>
      <c r="L295" s="12"/>
    </row>
    <row r="296" spans="1:12" ht="14.25" customHeight="1" x14ac:dyDescent="0.25">
      <c r="A296" s="10"/>
      <c r="C296" s="10"/>
      <c r="F296" s="8"/>
      <c r="G296" s="10"/>
      <c r="H296" s="10"/>
      <c r="I296" s="10"/>
      <c r="J296" s="11"/>
      <c r="K296" s="10"/>
      <c r="L296" s="12"/>
    </row>
    <row r="297" spans="1:12" ht="14.25" customHeight="1" x14ac:dyDescent="0.25">
      <c r="A297" s="10"/>
      <c r="C297" s="10"/>
      <c r="F297" s="8"/>
      <c r="G297" s="10"/>
      <c r="H297" s="10"/>
      <c r="I297" s="10"/>
      <c r="J297" s="11"/>
      <c r="K297" s="10"/>
      <c r="L297" s="12"/>
    </row>
    <row r="298" spans="1:12" ht="14.25" customHeight="1" x14ac:dyDescent="0.25">
      <c r="A298" s="10"/>
      <c r="C298" s="10"/>
      <c r="F298" s="8"/>
      <c r="G298" s="10"/>
      <c r="H298" s="10"/>
      <c r="I298" s="10"/>
      <c r="J298" s="11"/>
      <c r="K298" s="10"/>
      <c r="L298" s="12"/>
    </row>
    <row r="299" spans="1:12" ht="14.25" customHeight="1" x14ac:dyDescent="0.25">
      <c r="A299" s="10"/>
      <c r="C299" s="10"/>
      <c r="F299" s="8"/>
      <c r="G299" s="10"/>
      <c r="H299" s="10"/>
      <c r="I299" s="10"/>
      <c r="J299" s="11"/>
      <c r="K299" s="10"/>
      <c r="L299" s="12"/>
    </row>
    <row r="300" spans="1:12" ht="14.25" customHeight="1" x14ac:dyDescent="0.25">
      <c r="A300" s="10"/>
      <c r="C300" s="10"/>
      <c r="F300" s="8"/>
      <c r="G300" s="10"/>
      <c r="H300" s="10"/>
      <c r="I300" s="10"/>
      <c r="J300" s="11"/>
      <c r="K300" s="10"/>
      <c r="L300" s="12"/>
    </row>
    <row r="301" spans="1:12" ht="14.25" customHeight="1" x14ac:dyDescent="0.25">
      <c r="A301" s="10"/>
      <c r="C301" s="10"/>
      <c r="F301" s="8"/>
      <c r="G301" s="10"/>
      <c r="H301" s="10"/>
      <c r="I301" s="10"/>
      <c r="J301" s="11"/>
      <c r="K301" s="10"/>
      <c r="L301" s="12"/>
    </row>
    <row r="302" spans="1:12" ht="14.25" customHeight="1" x14ac:dyDescent="0.25">
      <c r="A302" s="10"/>
      <c r="C302" s="10"/>
      <c r="F302" s="8"/>
      <c r="G302" s="10"/>
      <c r="H302" s="10"/>
      <c r="I302" s="10"/>
      <c r="J302" s="11"/>
      <c r="K302" s="10"/>
      <c r="L302" s="12"/>
    </row>
    <row r="303" spans="1:12" ht="14.25" customHeight="1" x14ac:dyDescent="0.25">
      <c r="A303" s="10"/>
      <c r="C303" s="10"/>
      <c r="F303" s="8"/>
      <c r="G303" s="10"/>
      <c r="H303" s="10"/>
      <c r="I303" s="10"/>
      <c r="J303" s="11"/>
      <c r="K303" s="10"/>
      <c r="L303" s="12"/>
    </row>
    <row r="304" spans="1:12" ht="14.25" customHeight="1" x14ac:dyDescent="0.25">
      <c r="A304" s="10"/>
      <c r="C304" s="10"/>
      <c r="F304" s="8"/>
      <c r="G304" s="10"/>
      <c r="H304" s="10"/>
      <c r="I304" s="10"/>
      <c r="J304" s="11"/>
      <c r="K304" s="10"/>
      <c r="L304" s="12"/>
    </row>
    <row r="305" spans="1:12" ht="14.25" customHeight="1" x14ac:dyDescent="0.25">
      <c r="A305" s="10"/>
      <c r="C305" s="10"/>
      <c r="F305" s="8"/>
      <c r="G305" s="10"/>
      <c r="H305" s="10"/>
      <c r="I305" s="10"/>
      <c r="J305" s="11"/>
      <c r="K305" s="10"/>
      <c r="L305" s="12"/>
    </row>
    <row r="306" spans="1:12" ht="14.25" customHeight="1" x14ac:dyDescent="0.25">
      <c r="A306" s="10"/>
      <c r="C306" s="10"/>
      <c r="F306" s="8"/>
      <c r="G306" s="10"/>
      <c r="H306" s="10"/>
      <c r="I306" s="10"/>
      <c r="J306" s="11"/>
      <c r="K306" s="10"/>
      <c r="L306" s="12"/>
    </row>
    <row r="307" spans="1:12" ht="14.25" customHeight="1" x14ac:dyDescent="0.25">
      <c r="A307" s="10"/>
      <c r="C307" s="10"/>
      <c r="F307" s="8"/>
      <c r="G307" s="10"/>
      <c r="H307" s="10"/>
      <c r="I307" s="10"/>
      <c r="J307" s="11"/>
      <c r="K307" s="10"/>
      <c r="L307" s="12"/>
    </row>
    <row r="308" spans="1:12" ht="14.25" customHeight="1" x14ac:dyDescent="0.25">
      <c r="A308" s="10"/>
      <c r="C308" s="10"/>
      <c r="F308" s="8"/>
      <c r="G308" s="10"/>
      <c r="H308" s="10"/>
      <c r="I308" s="10"/>
      <c r="J308" s="11"/>
      <c r="K308" s="10"/>
      <c r="L308" s="12"/>
    </row>
    <row r="309" spans="1:12" ht="14.25" customHeight="1" x14ac:dyDescent="0.25">
      <c r="A309" s="10"/>
      <c r="C309" s="10"/>
      <c r="F309" s="8"/>
      <c r="G309" s="10"/>
      <c r="H309" s="10"/>
      <c r="I309" s="10"/>
      <c r="J309" s="11"/>
      <c r="K309" s="10"/>
      <c r="L309" s="12"/>
    </row>
    <row r="310" spans="1:12" ht="14.25" customHeight="1" x14ac:dyDescent="0.25">
      <c r="A310" s="10"/>
      <c r="C310" s="10"/>
      <c r="F310" s="8"/>
      <c r="G310" s="10"/>
      <c r="H310" s="10"/>
      <c r="I310" s="10"/>
      <c r="J310" s="11"/>
      <c r="K310" s="10"/>
      <c r="L310" s="12"/>
    </row>
    <row r="311" spans="1:12" ht="14.25" customHeight="1" x14ac:dyDescent="0.25">
      <c r="A311" s="10"/>
      <c r="C311" s="10"/>
      <c r="F311" s="8"/>
      <c r="G311" s="10"/>
      <c r="H311" s="10"/>
      <c r="I311" s="10"/>
      <c r="J311" s="11"/>
      <c r="K311" s="10"/>
      <c r="L311" s="12"/>
    </row>
    <row r="312" spans="1:12" ht="14.25" customHeight="1" x14ac:dyDescent="0.25">
      <c r="A312" s="10"/>
      <c r="C312" s="10"/>
      <c r="F312" s="8"/>
      <c r="G312" s="10"/>
      <c r="H312" s="10"/>
      <c r="I312" s="10"/>
      <c r="J312" s="11"/>
      <c r="K312" s="10"/>
      <c r="L312" s="12"/>
    </row>
    <row r="313" spans="1:12" ht="14.25" customHeight="1" x14ac:dyDescent="0.25">
      <c r="A313" s="10"/>
      <c r="C313" s="10"/>
      <c r="F313" s="8"/>
      <c r="G313" s="10"/>
      <c r="H313" s="10"/>
      <c r="I313" s="10"/>
      <c r="J313" s="11"/>
      <c r="K313" s="10"/>
      <c r="L313" s="12"/>
    </row>
    <row r="314" spans="1:12" ht="14.25" customHeight="1" x14ac:dyDescent="0.25">
      <c r="A314" s="10"/>
      <c r="C314" s="10"/>
      <c r="F314" s="8"/>
      <c r="G314" s="10"/>
      <c r="H314" s="10"/>
      <c r="I314" s="10"/>
      <c r="J314" s="11"/>
      <c r="K314" s="10"/>
      <c r="L314" s="12"/>
    </row>
    <row r="315" spans="1:12" ht="14.25" customHeight="1" x14ac:dyDescent="0.25">
      <c r="A315" s="10"/>
      <c r="C315" s="10"/>
      <c r="F315" s="8"/>
      <c r="G315" s="10"/>
      <c r="H315" s="10"/>
      <c r="I315" s="10"/>
      <c r="J315" s="11"/>
      <c r="K315" s="10"/>
      <c r="L315" s="12"/>
    </row>
    <row r="316" spans="1:12" ht="14.25" customHeight="1" x14ac:dyDescent="0.25">
      <c r="A316" s="10"/>
      <c r="C316" s="10"/>
      <c r="F316" s="8"/>
      <c r="G316" s="10"/>
      <c r="H316" s="10"/>
      <c r="I316" s="10"/>
      <c r="J316" s="11"/>
      <c r="K316" s="10"/>
      <c r="L316" s="12"/>
    </row>
    <row r="317" spans="1:12" ht="14.25" customHeight="1" x14ac:dyDescent="0.25">
      <c r="A317" s="10"/>
      <c r="C317" s="10"/>
      <c r="F317" s="8"/>
      <c r="G317" s="10"/>
      <c r="H317" s="10"/>
      <c r="I317" s="10"/>
      <c r="J317" s="11"/>
      <c r="K317" s="10"/>
      <c r="L317" s="12"/>
    </row>
    <row r="318" spans="1:12" ht="14.25" customHeight="1" x14ac:dyDescent="0.25">
      <c r="A318" s="10"/>
      <c r="C318" s="10"/>
      <c r="F318" s="8"/>
      <c r="G318" s="10"/>
      <c r="H318" s="10"/>
      <c r="I318" s="10"/>
      <c r="J318" s="11"/>
      <c r="K318" s="10"/>
      <c r="L318" s="12"/>
    </row>
    <row r="319" spans="1:12" ht="14.25" customHeight="1" x14ac:dyDescent="0.25">
      <c r="A319" s="10"/>
      <c r="C319" s="10"/>
      <c r="F319" s="8"/>
      <c r="G319" s="10"/>
      <c r="H319" s="10"/>
      <c r="I319" s="10"/>
      <c r="J319" s="11"/>
      <c r="K319" s="10"/>
      <c r="L319" s="12"/>
    </row>
    <row r="320" spans="1:12" ht="14.25" customHeight="1" x14ac:dyDescent="0.25">
      <c r="A320" s="10"/>
      <c r="C320" s="10"/>
      <c r="F320" s="8"/>
      <c r="G320" s="10"/>
      <c r="H320" s="10"/>
      <c r="I320" s="10"/>
      <c r="J320" s="11"/>
      <c r="K320" s="10"/>
      <c r="L320" s="12"/>
    </row>
    <row r="321" spans="1:12" ht="14.25" customHeight="1" x14ac:dyDescent="0.25">
      <c r="A321" s="10"/>
      <c r="C321" s="10"/>
      <c r="F321" s="8"/>
      <c r="G321" s="10"/>
      <c r="H321" s="10"/>
      <c r="I321" s="10"/>
      <c r="J321" s="11"/>
      <c r="K321" s="10"/>
      <c r="L321" s="12"/>
    </row>
    <row r="322" spans="1:12" ht="14.25" customHeight="1" x14ac:dyDescent="0.25">
      <c r="A322" s="10"/>
      <c r="C322" s="10"/>
      <c r="F322" s="8"/>
      <c r="G322" s="10"/>
      <c r="H322" s="10"/>
      <c r="I322" s="10"/>
      <c r="J322" s="11"/>
      <c r="K322" s="10"/>
      <c r="L322" s="12"/>
    </row>
    <row r="323" spans="1:12" ht="14.25" customHeight="1" x14ac:dyDescent="0.25">
      <c r="A323" s="10"/>
      <c r="C323" s="10"/>
      <c r="F323" s="8"/>
      <c r="G323" s="10"/>
      <c r="H323" s="10"/>
      <c r="I323" s="10"/>
      <c r="J323" s="11"/>
      <c r="K323" s="10"/>
      <c r="L323" s="12"/>
    </row>
    <row r="324" spans="1:12" ht="14.25" customHeight="1" x14ac:dyDescent="0.25">
      <c r="A324" s="10"/>
      <c r="C324" s="10"/>
      <c r="F324" s="8"/>
      <c r="G324" s="10"/>
      <c r="H324" s="10"/>
      <c r="I324" s="10"/>
      <c r="J324" s="11"/>
      <c r="K324" s="10"/>
      <c r="L324" s="12"/>
    </row>
    <row r="325" spans="1:12" ht="14.25" customHeight="1" x14ac:dyDescent="0.25">
      <c r="A325" s="10"/>
      <c r="C325" s="10"/>
      <c r="F325" s="8"/>
      <c r="G325" s="10"/>
      <c r="H325" s="10"/>
      <c r="I325" s="10"/>
      <c r="J325" s="11"/>
      <c r="K325" s="10"/>
      <c r="L325" s="12"/>
    </row>
    <row r="326" spans="1:12" ht="14.25" customHeight="1" x14ac:dyDescent="0.25">
      <c r="A326" s="10"/>
      <c r="C326" s="10"/>
      <c r="F326" s="8"/>
      <c r="G326" s="10"/>
      <c r="H326" s="10"/>
      <c r="I326" s="10"/>
      <c r="J326" s="11"/>
      <c r="K326" s="10"/>
      <c r="L326" s="12"/>
    </row>
    <row r="327" spans="1:12" ht="14.25" customHeight="1" x14ac:dyDescent="0.25">
      <c r="A327" s="10"/>
      <c r="C327" s="10"/>
      <c r="F327" s="8"/>
      <c r="G327" s="10"/>
      <c r="H327" s="10"/>
      <c r="I327" s="10"/>
      <c r="J327" s="11"/>
      <c r="K327" s="10"/>
      <c r="L327" s="12"/>
    </row>
    <row r="328" spans="1:12" ht="14.25" customHeight="1" x14ac:dyDescent="0.25">
      <c r="A328" s="10"/>
      <c r="C328" s="10"/>
      <c r="F328" s="8"/>
      <c r="G328" s="10"/>
      <c r="H328" s="10"/>
      <c r="I328" s="10"/>
      <c r="J328" s="11"/>
      <c r="K328" s="10"/>
      <c r="L328" s="12"/>
    </row>
    <row r="329" spans="1:12" ht="14.25" customHeight="1" x14ac:dyDescent="0.25">
      <c r="A329" s="10"/>
      <c r="C329" s="10"/>
      <c r="F329" s="8"/>
      <c r="G329" s="10"/>
      <c r="H329" s="10"/>
      <c r="I329" s="10"/>
      <c r="J329" s="11"/>
      <c r="K329" s="10"/>
      <c r="L329" s="12"/>
    </row>
    <row r="330" spans="1:12" ht="14.25" customHeight="1" x14ac:dyDescent="0.25">
      <c r="A330" s="10"/>
      <c r="C330" s="10"/>
      <c r="F330" s="8"/>
      <c r="G330" s="10"/>
      <c r="H330" s="10"/>
      <c r="I330" s="10"/>
      <c r="J330" s="11"/>
      <c r="K330" s="10"/>
      <c r="L330" s="12"/>
    </row>
    <row r="331" spans="1:12" ht="14.25" customHeight="1" x14ac:dyDescent="0.25">
      <c r="A331" s="10"/>
      <c r="C331" s="10"/>
      <c r="F331" s="8"/>
      <c r="G331" s="10"/>
      <c r="H331" s="10"/>
      <c r="I331" s="10"/>
      <c r="J331" s="11"/>
      <c r="K331" s="10"/>
      <c r="L331" s="12"/>
    </row>
    <row r="332" spans="1:12" ht="14.25" customHeight="1" x14ac:dyDescent="0.25">
      <c r="A332" s="10"/>
      <c r="C332" s="10"/>
      <c r="F332" s="8"/>
      <c r="G332" s="10"/>
      <c r="H332" s="10"/>
      <c r="I332" s="10"/>
      <c r="J332" s="11"/>
      <c r="K332" s="10"/>
      <c r="L332" s="12"/>
    </row>
    <row r="333" spans="1:12" ht="14.25" customHeight="1" x14ac:dyDescent="0.25">
      <c r="A333" s="10"/>
      <c r="C333" s="10"/>
      <c r="F333" s="8"/>
      <c r="G333" s="10"/>
      <c r="H333" s="10"/>
      <c r="I333" s="10"/>
      <c r="J333" s="11"/>
      <c r="K333" s="10"/>
      <c r="L333" s="12"/>
    </row>
    <row r="334" spans="1:12" ht="14.25" customHeight="1" x14ac:dyDescent="0.25">
      <c r="A334" s="10"/>
      <c r="C334" s="10"/>
      <c r="F334" s="8"/>
      <c r="G334" s="10"/>
      <c r="H334" s="10"/>
      <c r="I334" s="10"/>
      <c r="J334" s="11"/>
      <c r="K334" s="10"/>
      <c r="L334" s="12"/>
    </row>
    <row r="335" spans="1:12" ht="14.25" customHeight="1" x14ac:dyDescent="0.25">
      <c r="A335" s="10"/>
      <c r="C335" s="10"/>
      <c r="F335" s="8"/>
      <c r="G335" s="10"/>
      <c r="H335" s="10"/>
      <c r="I335" s="10"/>
      <c r="J335" s="11"/>
      <c r="K335" s="10"/>
      <c r="L335" s="12"/>
    </row>
    <row r="336" spans="1:12" ht="14.25" customHeight="1" x14ac:dyDescent="0.25">
      <c r="A336" s="10"/>
      <c r="C336" s="10"/>
      <c r="F336" s="8"/>
      <c r="G336" s="10"/>
      <c r="H336" s="10"/>
      <c r="I336" s="10"/>
      <c r="J336" s="11"/>
      <c r="K336" s="10"/>
      <c r="L336" s="12"/>
    </row>
    <row r="337" spans="1:12" ht="14.25" customHeight="1" x14ac:dyDescent="0.25">
      <c r="A337" s="10"/>
      <c r="C337" s="10"/>
      <c r="F337" s="8"/>
      <c r="G337" s="10"/>
      <c r="H337" s="10"/>
      <c r="I337" s="10"/>
      <c r="J337" s="11"/>
      <c r="K337" s="10"/>
      <c r="L337" s="12"/>
    </row>
    <row r="338" spans="1:12" ht="14.25" customHeight="1" x14ac:dyDescent="0.25">
      <c r="A338" s="10"/>
      <c r="C338" s="10"/>
      <c r="F338" s="8"/>
      <c r="G338" s="10"/>
      <c r="H338" s="10"/>
      <c r="I338" s="10"/>
      <c r="J338" s="11"/>
      <c r="K338" s="10"/>
      <c r="L338" s="12"/>
    </row>
    <row r="339" spans="1:12" ht="14.25" customHeight="1" x14ac:dyDescent="0.25">
      <c r="A339" s="10"/>
      <c r="C339" s="10"/>
      <c r="F339" s="8"/>
      <c r="G339" s="10"/>
      <c r="H339" s="10"/>
      <c r="I339" s="10"/>
      <c r="J339" s="11"/>
      <c r="K339" s="10"/>
      <c r="L339" s="12"/>
    </row>
    <row r="340" spans="1:12" ht="14.25" customHeight="1" x14ac:dyDescent="0.25">
      <c r="A340" s="10"/>
      <c r="C340" s="10"/>
      <c r="F340" s="8"/>
      <c r="G340" s="10"/>
      <c r="H340" s="10"/>
      <c r="I340" s="10"/>
      <c r="J340" s="11"/>
      <c r="K340" s="10"/>
      <c r="L340" s="12"/>
    </row>
    <row r="341" spans="1:12" ht="14.25" customHeight="1" x14ac:dyDescent="0.25">
      <c r="A341" s="10"/>
      <c r="C341" s="10"/>
      <c r="F341" s="8"/>
      <c r="G341" s="10"/>
      <c r="H341" s="10"/>
      <c r="I341" s="10"/>
      <c r="J341" s="11"/>
      <c r="K341" s="10"/>
      <c r="L341" s="12"/>
    </row>
    <row r="342" spans="1:12" ht="14.25" customHeight="1" x14ac:dyDescent="0.25">
      <c r="A342" s="10"/>
      <c r="C342" s="10"/>
      <c r="F342" s="8"/>
      <c r="G342" s="10"/>
      <c r="H342" s="10"/>
      <c r="I342" s="10"/>
      <c r="J342" s="11"/>
      <c r="K342" s="10"/>
      <c r="L342" s="12"/>
    </row>
    <row r="343" spans="1:12" ht="14.25" customHeight="1" x14ac:dyDescent="0.25">
      <c r="A343" s="10"/>
      <c r="C343" s="10"/>
      <c r="F343" s="8"/>
      <c r="G343" s="10"/>
      <c r="H343" s="10"/>
      <c r="I343" s="10"/>
      <c r="J343" s="11"/>
      <c r="K343" s="10"/>
      <c r="L343" s="12"/>
    </row>
    <row r="344" spans="1:12" ht="14.25" customHeight="1" x14ac:dyDescent="0.25">
      <c r="A344" s="10"/>
      <c r="C344" s="10"/>
      <c r="F344" s="8"/>
      <c r="G344" s="10"/>
      <c r="H344" s="10"/>
      <c r="I344" s="10"/>
      <c r="J344" s="11"/>
      <c r="K344" s="10"/>
      <c r="L344" s="12"/>
    </row>
    <row r="345" spans="1:12" ht="14.25" customHeight="1" x14ac:dyDescent="0.25">
      <c r="A345" s="10"/>
      <c r="C345" s="10"/>
      <c r="F345" s="8"/>
      <c r="G345" s="10"/>
      <c r="H345" s="10"/>
      <c r="I345" s="10"/>
      <c r="J345" s="11"/>
      <c r="K345" s="10"/>
      <c r="L345" s="12"/>
    </row>
    <row r="346" spans="1:12" ht="14.25" customHeight="1" x14ac:dyDescent="0.25">
      <c r="A346" s="10"/>
      <c r="C346" s="10"/>
      <c r="F346" s="8"/>
      <c r="G346" s="10"/>
      <c r="H346" s="10"/>
      <c r="I346" s="10"/>
      <c r="J346" s="11"/>
      <c r="K346" s="10"/>
      <c r="L346" s="12"/>
    </row>
    <row r="347" spans="1:12" ht="14.25" customHeight="1" x14ac:dyDescent="0.25">
      <c r="A347" s="10"/>
      <c r="C347" s="10"/>
      <c r="F347" s="8"/>
      <c r="G347" s="10"/>
      <c r="H347" s="10"/>
      <c r="I347" s="10"/>
      <c r="J347" s="11"/>
      <c r="K347" s="10"/>
      <c r="L347" s="12"/>
    </row>
    <row r="348" spans="1:12" ht="14.25" customHeight="1" x14ac:dyDescent="0.25">
      <c r="A348" s="10"/>
      <c r="C348" s="10"/>
      <c r="F348" s="8"/>
      <c r="G348" s="10"/>
      <c r="H348" s="10"/>
      <c r="I348" s="10"/>
      <c r="J348" s="11"/>
      <c r="K348" s="10"/>
      <c r="L348" s="12"/>
    </row>
    <row r="349" spans="1:12" ht="14.25" customHeight="1" x14ac:dyDescent="0.25">
      <c r="A349" s="10"/>
      <c r="C349" s="10"/>
      <c r="F349" s="8"/>
      <c r="G349" s="10"/>
      <c r="H349" s="10"/>
      <c r="I349" s="10"/>
      <c r="J349" s="11"/>
      <c r="K349" s="10"/>
      <c r="L349" s="12"/>
    </row>
    <row r="350" spans="1:12" ht="14.25" customHeight="1" x14ac:dyDescent="0.25">
      <c r="A350" s="10"/>
      <c r="C350" s="10"/>
      <c r="F350" s="8"/>
      <c r="G350" s="10"/>
      <c r="H350" s="10"/>
      <c r="I350" s="10"/>
      <c r="J350" s="11"/>
      <c r="K350" s="10"/>
      <c r="L350" s="12"/>
    </row>
    <row r="351" spans="1:12" ht="14.25" customHeight="1" x14ac:dyDescent="0.25">
      <c r="A351" s="10"/>
      <c r="C351" s="10"/>
      <c r="F351" s="8"/>
      <c r="G351" s="10"/>
      <c r="H351" s="10"/>
      <c r="I351" s="10"/>
      <c r="J351" s="11"/>
      <c r="K351" s="10"/>
      <c r="L351" s="12"/>
    </row>
    <row r="352" spans="1:12" ht="14.25" customHeight="1" x14ac:dyDescent="0.25">
      <c r="A352" s="10"/>
      <c r="C352" s="10"/>
      <c r="F352" s="8"/>
      <c r="G352" s="10"/>
      <c r="H352" s="10"/>
      <c r="I352" s="10"/>
      <c r="J352" s="11"/>
      <c r="K352" s="10"/>
      <c r="L352" s="12"/>
    </row>
    <row r="353" spans="1:12" ht="14.25" customHeight="1" x14ac:dyDescent="0.25">
      <c r="A353" s="10"/>
      <c r="C353" s="10"/>
      <c r="F353" s="8"/>
      <c r="G353" s="10"/>
      <c r="H353" s="10"/>
      <c r="I353" s="10"/>
      <c r="J353" s="11"/>
      <c r="K353" s="10"/>
      <c r="L353" s="12"/>
    </row>
    <row r="354" spans="1:12" ht="14.25" customHeight="1" x14ac:dyDescent="0.25">
      <c r="A354" s="10"/>
      <c r="C354" s="10"/>
      <c r="F354" s="8"/>
      <c r="G354" s="10"/>
      <c r="H354" s="10"/>
      <c r="I354" s="10"/>
      <c r="J354" s="11"/>
      <c r="K354" s="10"/>
      <c r="L354" s="12"/>
    </row>
    <row r="355" spans="1:12" ht="14.25" customHeight="1" x14ac:dyDescent="0.25">
      <c r="A355" s="10"/>
      <c r="C355" s="10"/>
      <c r="F355" s="8"/>
      <c r="G355" s="10"/>
      <c r="H355" s="10"/>
      <c r="I355" s="10"/>
      <c r="J355" s="11"/>
      <c r="K355" s="10"/>
      <c r="L355" s="12"/>
    </row>
    <row r="356" spans="1:12" ht="14.25" customHeight="1" x14ac:dyDescent="0.25">
      <c r="A356" s="10"/>
      <c r="C356" s="10"/>
      <c r="F356" s="8"/>
      <c r="G356" s="10"/>
      <c r="H356" s="10"/>
      <c r="I356" s="10"/>
      <c r="J356" s="11"/>
      <c r="K356" s="10"/>
      <c r="L356" s="12"/>
    </row>
    <row r="357" spans="1:12" ht="14.25" customHeight="1" x14ac:dyDescent="0.25">
      <c r="A357" s="10"/>
      <c r="C357" s="10"/>
      <c r="F357" s="8"/>
      <c r="G357" s="10"/>
      <c r="H357" s="10"/>
      <c r="I357" s="10"/>
      <c r="J357" s="11"/>
      <c r="K357" s="10"/>
      <c r="L357" s="12"/>
    </row>
    <row r="358" spans="1:12" ht="14.25" customHeight="1" x14ac:dyDescent="0.25">
      <c r="A358" s="10"/>
      <c r="C358" s="10"/>
      <c r="F358" s="8"/>
      <c r="G358" s="10"/>
      <c r="H358" s="10"/>
      <c r="I358" s="10"/>
      <c r="J358" s="11"/>
      <c r="K358" s="10"/>
      <c r="L358" s="12"/>
    </row>
    <row r="359" spans="1:12" ht="14.25" customHeight="1" x14ac:dyDescent="0.25">
      <c r="A359" s="10"/>
      <c r="C359" s="10"/>
      <c r="F359" s="8"/>
      <c r="G359" s="10"/>
      <c r="H359" s="10"/>
      <c r="I359" s="10"/>
      <c r="J359" s="11"/>
      <c r="K359" s="10"/>
      <c r="L359" s="12"/>
    </row>
    <row r="360" spans="1:12" ht="14.25" customHeight="1" x14ac:dyDescent="0.25">
      <c r="A360" s="10"/>
      <c r="C360" s="10"/>
      <c r="F360" s="8"/>
      <c r="G360" s="10"/>
      <c r="H360" s="10"/>
      <c r="I360" s="10"/>
      <c r="J360" s="11"/>
      <c r="K360" s="10"/>
      <c r="L360" s="12"/>
    </row>
    <row r="361" spans="1:12" ht="14.25" customHeight="1" x14ac:dyDescent="0.25">
      <c r="A361" s="10"/>
      <c r="C361" s="10"/>
      <c r="F361" s="8"/>
      <c r="G361" s="10"/>
      <c r="H361" s="10"/>
      <c r="I361" s="10"/>
      <c r="J361" s="11"/>
      <c r="K361" s="10"/>
      <c r="L361" s="12"/>
    </row>
    <row r="362" spans="1:12" ht="14.25" customHeight="1" x14ac:dyDescent="0.25">
      <c r="A362" s="10"/>
      <c r="C362" s="10"/>
      <c r="F362" s="8"/>
      <c r="G362" s="10"/>
      <c r="H362" s="10"/>
      <c r="I362" s="10"/>
      <c r="J362" s="11"/>
      <c r="K362" s="10"/>
      <c r="L362" s="12"/>
    </row>
    <row r="363" spans="1:12" ht="14.25" customHeight="1" x14ac:dyDescent="0.25">
      <c r="A363" s="10"/>
      <c r="C363" s="10"/>
      <c r="F363" s="8"/>
      <c r="G363" s="10"/>
      <c r="H363" s="10"/>
      <c r="I363" s="10"/>
      <c r="J363" s="11"/>
      <c r="K363" s="10"/>
      <c r="L363" s="12"/>
    </row>
    <row r="364" spans="1:12" ht="14.25" customHeight="1" x14ac:dyDescent="0.25">
      <c r="A364" s="10"/>
      <c r="C364" s="10"/>
      <c r="F364" s="8"/>
      <c r="G364" s="10"/>
      <c r="H364" s="10"/>
      <c r="I364" s="10"/>
      <c r="J364" s="11"/>
      <c r="K364" s="10"/>
      <c r="L364" s="12"/>
    </row>
    <row r="365" spans="1:12" ht="14.25" customHeight="1" x14ac:dyDescent="0.25">
      <c r="A365" s="10"/>
      <c r="C365" s="10"/>
      <c r="F365" s="8"/>
      <c r="G365" s="10"/>
      <c r="H365" s="10"/>
      <c r="I365" s="10"/>
      <c r="J365" s="11"/>
      <c r="K365" s="10"/>
      <c r="L365" s="12"/>
    </row>
    <row r="366" spans="1:12" ht="14.25" customHeight="1" x14ac:dyDescent="0.25">
      <c r="A366" s="10"/>
      <c r="C366" s="10"/>
      <c r="F366" s="8"/>
      <c r="G366" s="10"/>
      <c r="H366" s="10"/>
      <c r="I366" s="10"/>
      <c r="J366" s="11"/>
      <c r="K366" s="10"/>
      <c r="L366" s="12"/>
    </row>
    <row r="367" spans="1:12" ht="14.25" customHeight="1" x14ac:dyDescent="0.25">
      <c r="A367" s="10"/>
      <c r="C367" s="10"/>
      <c r="F367" s="8"/>
      <c r="G367" s="10"/>
      <c r="H367" s="10"/>
      <c r="I367" s="10"/>
      <c r="J367" s="11"/>
      <c r="K367" s="10"/>
      <c r="L367" s="12"/>
    </row>
    <row r="368" spans="1:12" ht="14.25" customHeight="1" x14ac:dyDescent="0.25">
      <c r="A368" s="10"/>
      <c r="C368" s="10"/>
      <c r="F368" s="8"/>
      <c r="G368" s="10"/>
      <c r="H368" s="10"/>
      <c r="I368" s="10"/>
      <c r="J368" s="11"/>
      <c r="K368" s="10"/>
      <c r="L368" s="12"/>
    </row>
    <row r="369" spans="1:12" ht="14.25" customHeight="1" x14ac:dyDescent="0.25">
      <c r="A369" s="10"/>
      <c r="C369" s="10"/>
      <c r="F369" s="8"/>
      <c r="G369" s="10"/>
      <c r="H369" s="10"/>
      <c r="I369" s="10"/>
      <c r="J369" s="11"/>
      <c r="K369" s="10"/>
      <c r="L369" s="12"/>
    </row>
    <row r="370" spans="1:12" ht="14.25" customHeight="1" x14ac:dyDescent="0.25">
      <c r="A370" s="10"/>
      <c r="C370" s="10"/>
      <c r="F370" s="8"/>
      <c r="G370" s="10"/>
      <c r="H370" s="10"/>
      <c r="I370" s="10"/>
      <c r="J370" s="11"/>
      <c r="K370" s="10"/>
      <c r="L370" s="12"/>
    </row>
    <row r="371" spans="1:12" ht="14.25" customHeight="1" x14ac:dyDescent="0.25">
      <c r="A371" s="10"/>
      <c r="C371" s="10"/>
      <c r="F371" s="8"/>
      <c r="G371" s="10"/>
      <c r="H371" s="10"/>
      <c r="I371" s="10"/>
      <c r="J371" s="11"/>
      <c r="K371" s="10"/>
      <c r="L371" s="12"/>
    </row>
    <row r="372" spans="1:12" ht="14.25" customHeight="1" x14ac:dyDescent="0.25">
      <c r="A372" s="10"/>
      <c r="C372" s="10"/>
      <c r="F372" s="8"/>
      <c r="G372" s="10"/>
      <c r="H372" s="10"/>
      <c r="I372" s="10"/>
      <c r="J372" s="11"/>
      <c r="K372" s="10"/>
      <c r="L372" s="12"/>
    </row>
    <row r="373" spans="1:12" ht="14.25" customHeight="1" x14ac:dyDescent="0.25">
      <c r="A373" s="10"/>
      <c r="C373" s="10"/>
      <c r="F373" s="8"/>
      <c r="G373" s="10"/>
      <c r="H373" s="10"/>
      <c r="I373" s="10"/>
      <c r="J373" s="11"/>
      <c r="K373" s="10"/>
      <c r="L373" s="12"/>
    </row>
    <row r="374" spans="1:12" ht="14.25" customHeight="1" x14ac:dyDescent="0.25">
      <c r="A374" s="10"/>
      <c r="C374" s="10"/>
      <c r="F374" s="8"/>
      <c r="G374" s="10"/>
      <c r="H374" s="10"/>
      <c r="I374" s="10"/>
      <c r="J374" s="11"/>
      <c r="K374" s="10"/>
      <c r="L374" s="12"/>
    </row>
    <row r="375" spans="1:12" ht="14.25" customHeight="1" x14ac:dyDescent="0.25">
      <c r="A375" s="10"/>
      <c r="C375" s="10"/>
      <c r="F375" s="8"/>
      <c r="G375" s="10"/>
      <c r="H375" s="10"/>
      <c r="I375" s="10"/>
      <c r="J375" s="11"/>
      <c r="K375" s="10"/>
      <c r="L375" s="12"/>
    </row>
    <row r="376" spans="1:12" ht="14.25" customHeight="1" x14ac:dyDescent="0.25">
      <c r="A376" s="10"/>
      <c r="C376" s="10"/>
      <c r="F376" s="8"/>
      <c r="G376" s="10"/>
      <c r="H376" s="10"/>
      <c r="I376" s="10"/>
      <c r="J376" s="11"/>
      <c r="K376" s="10"/>
      <c r="L376" s="12"/>
    </row>
    <row r="377" spans="1:12" ht="14.25" customHeight="1" x14ac:dyDescent="0.25">
      <c r="A377" s="10"/>
      <c r="C377" s="10"/>
      <c r="F377" s="8"/>
      <c r="G377" s="10"/>
      <c r="H377" s="10"/>
      <c r="I377" s="10"/>
      <c r="J377" s="11"/>
      <c r="K377" s="10"/>
      <c r="L377" s="12"/>
    </row>
    <row r="378" spans="1:12" ht="14.25" customHeight="1" x14ac:dyDescent="0.25">
      <c r="A378" s="10"/>
      <c r="C378" s="10"/>
      <c r="F378" s="8"/>
      <c r="G378" s="10"/>
      <c r="H378" s="10"/>
      <c r="I378" s="10"/>
      <c r="J378" s="11"/>
      <c r="K378" s="10"/>
      <c r="L378" s="12"/>
    </row>
    <row r="379" spans="1:12" ht="14.25" customHeight="1" x14ac:dyDescent="0.25">
      <c r="A379" s="10"/>
      <c r="C379" s="10"/>
      <c r="F379" s="8"/>
      <c r="G379" s="10"/>
      <c r="H379" s="10"/>
      <c r="I379" s="10"/>
      <c r="J379" s="11"/>
      <c r="K379" s="10"/>
      <c r="L379" s="12"/>
    </row>
    <row r="380" spans="1:12" ht="14.25" customHeight="1" x14ac:dyDescent="0.25">
      <c r="A380" s="10"/>
      <c r="C380" s="10"/>
      <c r="F380" s="8"/>
      <c r="G380" s="10"/>
      <c r="H380" s="10"/>
      <c r="I380" s="10"/>
      <c r="J380" s="11"/>
      <c r="K380" s="10"/>
      <c r="L380" s="12"/>
    </row>
    <row r="381" spans="1:12" ht="14.25" customHeight="1" x14ac:dyDescent="0.25">
      <c r="A381" s="10"/>
      <c r="C381" s="10"/>
      <c r="F381" s="8"/>
      <c r="G381" s="10"/>
      <c r="H381" s="10"/>
      <c r="I381" s="10"/>
      <c r="J381" s="11"/>
      <c r="K381" s="10"/>
      <c r="L381" s="12"/>
    </row>
    <row r="382" spans="1:12" ht="14.25" customHeight="1" x14ac:dyDescent="0.25">
      <c r="A382" s="10"/>
      <c r="C382" s="10"/>
      <c r="F382" s="8"/>
      <c r="G382" s="10"/>
      <c r="H382" s="10"/>
      <c r="I382" s="10"/>
      <c r="J382" s="11"/>
      <c r="K382" s="10"/>
      <c r="L382" s="12"/>
    </row>
    <row r="383" spans="1:12" ht="14.25" customHeight="1" x14ac:dyDescent="0.25">
      <c r="A383" s="10"/>
      <c r="C383" s="10"/>
      <c r="F383" s="8"/>
      <c r="G383" s="10"/>
      <c r="H383" s="10"/>
      <c r="I383" s="10"/>
      <c r="J383" s="11"/>
      <c r="K383" s="10"/>
      <c r="L383" s="12"/>
    </row>
    <row r="384" spans="1:12" ht="14.25" customHeight="1" x14ac:dyDescent="0.25">
      <c r="A384" s="10"/>
      <c r="C384" s="10"/>
      <c r="F384" s="8"/>
      <c r="G384" s="10"/>
      <c r="H384" s="10"/>
      <c r="I384" s="10"/>
      <c r="J384" s="11"/>
      <c r="K384" s="10"/>
      <c r="L384" s="12"/>
    </row>
    <row r="385" spans="1:12" ht="14.25" customHeight="1" x14ac:dyDescent="0.25">
      <c r="A385" s="10"/>
      <c r="C385" s="10"/>
      <c r="F385" s="8"/>
      <c r="G385" s="10"/>
      <c r="H385" s="10"/>
      <c r="I385" s="10"/>
      <c r="J385" s="11"/>
      <c r="K385" s="10"/>
      <c r="L385" s="12"/>
    </row>
    <row r="386" spans="1:12" ht="14.25" customHeight="1" x14ac:dyDescent="0.25">
      <c r="A386" s="10"/>
      <c r="C386" s="10"/>
      <c r="F386" s="8"/>
      <c r="G386" s="10"/>
      <c r="H386" s="10"/>
      <c r="I386" s="10"/>
      <c r="J386" s="11"/>
      <c r="K386" s="10"/>
      <c r="L386" s="12"/>
    </row>
    <row r="387" spans="1:12" ht="14.25" customHeight="1" x14ac:dyDescent="0.25">
      <c r="A387" s="10"/>
      <c r="C387" s="10"/>
      <c r="F387" s="8"/>
      <c r="G387" s="10"/>
      <c r="H387" s="10"/>
      <c r="I387" s="10"/>
      <c r="J387" s="11"/>
      <c r="K387" s="10"/>
      <c r="L387" s="12"/>
    </row>
    <row r="388" spans="1:12" ht="14.25" customHeight="1" x14ac:dyDescent="0.25">
      <c r="A388" s="10"/>
      <c r="C388" s="10"/>
      <c r="F388" s="8"/>
      <c r="G388" s="10"/>
      <c r="H388" s="10"/>
      <c r="I388" s="10"/>
      <c r="J388" s="11"/>
      <c r="K388" s="10"/>
      <c r="L388" s="12"/>
    </row>
    <row r="389" spans="1:12" ht="14.25" customHeight="1" x14ac:dyDescent="0.25">
      <c r="A389" s="10"/>
      <c r="C389" s="10"/>
      <c r="F389" s="8"/>
      <c r="G389" s="10"/>
      <c r="H389" s="10"/>
      <c r="I389" s="10"/>
      <c r="J389" s="11"/>
      <c r="K389" s="10"/>
      <c r="L389" s="12"/>
    </row>
    <row r="390" spans="1:12" ht="14.25" customHeight="1" x14ac:dyDescent="0.25">
      <c r="A390" s="10"/>
      <c r="C390" s="10"/>
      <c r="F390" s="8"/>
      <c r="G390" s="10"/>
      <c r="H390" s="10"/>
      <c r="I390" s="10"/>
      <c r="J390" s="11"/>
      <c r="K390" s="10"/>
      <c r="L390" s="12"/>
    </row>
    <row r="391" spans="1:12" ht="14.25" customHeight="1" x14ac:dyDescent="0.25">
      <c r="A391" s="10"/>
      <c r="C391" s="10"/>
      <c r="F391" s="8"/>
      <c r="G391" s="10"/>
      <c r="H391" s="10"/>
      <c r="I391" s="10"/>
      <c r="J391" s="11"/>
      <c r="K391" s="10"/>
      <c r="L391" s="12"/>
    </row>
    <row r="392" spans="1:12" ht="14.25" customHeight="1" x14ac:dyDescent="0.25">
      <c r="A392" s="10"/>
      <c r="C392" s="10"/>
      <c r="F392" s="8"/>
      <c r="G392" s="10"/>
      <c r="H392" s="10"/>
      <c r="I392" s="10"/>
      <c r="J392" s="11"/>
      <c r="K392" s="10"/>
      <c r="L392" s="12"/>
    </row>
    <row r="393" spans="1:12" ht="14.25" customHeight="1" x14ac:dyDescent="0.25">
      <c r="A393" s="10"/>
      <c r="C393" s="10"/>
      <c r="F393" s="8"/>
      <c r="G393" s="10"/>
      <c r="H393" s="10"/>
      <c r="I393" s="10"/>
      <c r="J393" s="11"/>
      <c r="K393" s="10"/>
      <c r="L393" s="12"/>
    </row>
    <row r="394" spans="1:12" ht="14.25" customHeight="1" x14ac:dyDescent="0.25">
      <c r="A394" s="10"/>
      <c r="C394" s="10"/>
      <c r="F394" s="8"/>
      <c r="G394" s="10"/>
      <c r="H394" s="10"/>
      <c r="I394" s="10"/>
      <c r="J394" s="11"/>
      <c r="K394" s="10"/>
      <c r="L394" s="12"/>
    </row>
    <row r="395" spans="1:12" ht="14.25" customHeight="1" x14ac:dyDescent="0.25">
      <c r="A395" s="10"/>
      <c r="C395" s="10"/>
      <c r="F395" s="8"/>
      <c r="G395" s="10"/>
      <c r="H395" s="10"/>
      <c r="I395" s="10"/>
      <c r="J395" s="11"/>
      <c r="K395" s="10"/>
      <c r="L395" s="12"/>
    </row>
    <row r="396" spans="1:12" ht="14.25" customHeight="1" x14ac:dyDescent="0.25">
      <c r="A396" s="10"/>
      <c r="C396" s="10"/>
      <c r="F396" s="8"/>
      <c r="G396" s="10"/>
      <c r="H396" s="10"/>
      <c r="I396" s="10"/>
      <c r="J396" s="11"/>
      <c r="K396" s="10"/>
      <c r="L396" s="12"/>
    </row>
    <row r="397" spans="1:12" ht="14.25" customHeight="1" x14ac:dyDescent="0.25">
      <c r="A397" s="10"/>
      <c r="C397" s="10"/>
      <c r="F397" s="8"/>
      <c r="G397" s="10"/>
      <c r="H397" s="10"/>
      <c r="I397" s="10"/>
      <c r="J397" s="11"/>
      <c r="K397" s="10"/>
      <c r="L397" s="12"/>
    </row>
    <row r="398" spans="1:12" ht="14.25" customHeight="1" x14ac:dyDescent="0.25">
      <c r="A398" s="10"/>
      <c r="C398" s="10"/>
      <c r="F398" s="8"/>
      <c r="G398" s="10"/>
      <c r="H398" s="10"/>
      <c r="I398" s="10"/>
      <c r="J398" s="11"/>
      <c r="K398" s="10"/>
      <c r="L398" s="12"/>
    </row>
    <row r="399" spans="1:12" ht="14.25" customHeight="1" x14ac:dyDescent="0.25">
      <c r="A399" s="10"/>
      <c r="C399" s="10"/>
      <c r="F399" s="8"/>
      <c r="G399" s="10"/>
      <c r="H399" s="10"/>
      <c r="I399" s="10"/>
      <c r="J399" s="11"/>
      <c r="K399" s="10"/>
      <c r="L399" s="12"/>
    </row>
    <row r="400" spans="1:12" ht="14.25" customHeight="1" x14ac:dyDescent="0.25">
      <c r="A400" s="10"/>
      <c r="C400" s="10"/>
      <c r="F400" s="8"/>
      <c r="G400" s="10"/>
      <c r="H400" s="10"/>
      <c r="I400" s="10"/>
      <c r="J400" s="11"/>
      <c r="K400" s="10"/>
      <c r="L400" s="12"/>
    </row>
    <row r="401" spans="1:12" ht="14.25" customHeight="1" x14ac:dyDescent="0.25">
      <c r="A401" s="10"/>
      <c r="C401" s="10"/>
      <c r="F401" s="8"/>
      <c r="G401" s="10"/>
      <c r="H401" s="10"/>
      <c r="I401" s="10"/>
      <c r="J401" s="11"/>
      <c r="K401" s="10"/>
      <c r="L401" s="12"/>
    </row>
    <row r="402" spans="1:12" ht="14.25" customHeight="1" x14ac:dyDescent="0.25">
      <c r="A402" s="10"/>
      <c r="C402" s="10"/>
      <c r="F402" s="8"/>
      <c r="G402" s="10"/>
      <c r="H402" s="10"/>
      <c r="I402" s="10"/>
      <c r="J402" s="11"/>
      <c r="K402" s="10"/>
      <c r="L402" s="12"/>
    </row>
    <row r="403" spans="1:12" ht="14.25" customHeight="1" x14ac:dyDescent="0.25">
      <c r="A403" s="10"/>
      <c r="C403" s="10"/>
      <c r="F403" s="8"/>
      <c r="G403" s="10"/>
      <c r="H403" s="10"/>
      <c r="I403" s="10"/>
      <c r="J403" s="11"/>
      <c r="K403" s="10"/>
      <c r="L403" s="12"/>
    </row>
    <row r="404" spans="1:12" ht="14.25" customHeight="1" x14ac:dyDescent="0.25">
      <c r="A404" s="10"/>
      <c r="C404" s="10"/>
      <c r="F404" s="8"/>
      <c r="G404" s="10"/>
      <c r="H404" s="10"/>
      <c r="I404" s="10"/>
      <c r="J404" s="11"/>
      <c r="K404" s="10"/>
      <c r="L404" s="12"/>
    </row>
    <row r="405" spans="1:12" ht="14.25" customHeight="1" x14ac:dyDescent="0.25">
      <c r="A405" s="10"/>
      <c r="C405" s="10"/>
      <c r="F405" s="8"/>
      <c r="G405" s="10"/>
      <c r="H405" s="10"/>
      <c r="I405" s="10"/>
      <c r="J405" s="11"/>
      <c r="K405" s="10"/>
      <c r="L405" s="12"/>
    </row>
    <row r="406" spans="1:12" ht="14.25" customHeight="1" x14ac:dyDescent="0.25">
      <c r="A406" s="10"/>
      <c r="C406" s="10"/>
      <c r="F406" s="8"/>
      <c r="G406" s="10"/>
      <c r="H406" s="10"/>
      <c r="I406" s="10"/>
      <c r="J406" s="11"/>
      <c r="K406" s="10"/>
      <c r="L406" s="12"/>
    </row>
    <row r="407" spans="1:12" ht="14.25" customHeight="1" x14ac:dyDescent="0.25">
      <c r="A407" s="10"/>
      <c r="C407" s="10"/>
      <c r="F407" s="8"/>
      <c r="G407" s="10"/>
      <c r="H407" s="10"/>
      <c r="I407" s="10"/>
      <c r="J407" s="11"/>
      <c r="K407" s="10"/>
      <c r="L407" s="12"/>
    </row>
    <row r="408" spans="1:12" ht="14.25" customHeight="1" x14ac:dyDescent="0.25">
      <c r="A408" s="10"/>
      <c r="C408" s="10"/>
      <c r="F408" s="8"/>
      <c r="G408" s="10"/>
      <c r="H408" s="10"/>
      <c r="I408" s="10"/>
      <c r="J408" s="11"/>
      <c r="K408" s="10"/>
      <c r="L408" s="12"/>
    </row>
    <row r="409" spans="1:12" ht="14.25" customHeight="1" x14ac:dyDescent="0.25">
      <c r="A409" s="10"/>
      <c r="C409" s="10"/>
      <c r="F409" s="8"/>
      <c r="G409" s="10"/>
      <c r="H409" s="10"/>
      <c r="I409" s="10"/>
      <c r="J409" s="11"/>
      <c r="K409" s="10"/>
      <c r="L409" s="12"/>
    </row>
    <row r="410" spans="1:12" ht="14.25" customHeight="1" x14ac:dyDescent="0.25">
      <c r="A410" s="10"/>
      <c r="C410" s="10"/>
      <c r="F410" s="8"/>
      <c r="G410" s="10"/>
      <c r="H410" s="10"/>
      <c r="I410" s="10"/>
      <c r="J410" s="11"/>
      <c r="K410" s="10"/>
      <c r="L410" s="12"/>
    </row>
    <row r="411" spans="1:12" ht="14.25" customHeight="1" x14ac:dyDescent="0.25">
      <c r="A411" s="10"/>
      <c r="C411" s="10"/>
      <c r="F411" s="8"/>
      <c r="G411" s="10"/>
      <c r="H411" s="10"/>
      <c r="I411" s="10"/>
      <c r="J411" s="11"/>
      <c r="K411" s="10"/>
      <c r="L411" s="12"/>
    </row>
    <row r="412" spans="1:12" ht="14.25" customHeight="1" x14ac:dyDescent="0.25">
      <c r="A412" s="10"/>
      <c r="C412" s="10"/>
      <c r="F412" s="8"/>
      <c r="G412" s="10"/>
      <c r="H412" s="10"/>
      <c r="I412" s="10"/>
      <c r="J412" s="11"/>
      <c r="K412" s="10"/>
      <c r="L412" s="12"/>
    </row>
    <row r="413" spans="1:12" ht="14.25" customHeight="1" x14ac:dyDescent="0.25">
      <c r="A413" s="10"/>
      <c r="C413" s="10"/>
      <c r="F413" s="8"/>
      <c r="G413" s="10"/>
      <c r="H413" s="10"/>
      <c r="I413" s="10"/>
      <c r="J413" s="11"/>
      <c r="K413" s="10"/>
      <c r="L413" s="12"/>
    </row>
    <row r="414" spans="1:12" ht="14.25" customHeight="1" x14ac:dyDescent="0.25">
      <c r="A414" s="10"/>
      <c r="C414" s="10"/>
      <c r="F414" s="8"/>
      <c r="G414" s="10"/>
      <c r="H414" s="10"/>
      <c r="I414" s="10"/>
      <c r="J414" s="11"/>
      <c r="K414" s="10"/>
      <c r="L414" s="12"/>
    </row>
    <row r="415" spans="1:12" ht="14.25" customHeight="1" x14ac:dyDescent="0.25">
      <c r="A415" s="10"/>
      <c r="C415" s="10"/>
      <c r="F415" s="8"/>
      <c r="G415" s="10"/>
      <c r="H415" s="10"/>
      <c r="I415" s="10"/>
      <c r="J415" s="11"/>
      <c r="K415" s="10"/>
      <c r="L415" s="12"/>
    </row>
    <row r="416" spans="1:12" ht="14.25" customHeight="1" x14ac:dyDescent="0.25">
      <c r="A416" s="10"/>
      <c r="C416" s="10"/>
      <c r="F416" s="8"/>
      <c r="G416" s="10"/>
      <c r="H416" s="10"/>
      <c r="I416" s="10"/>
      <c r="J416" s="11"/>
      <c r="K416" s="10"/>
      <c r="L416" s="12"/>
    </row>
    <row r="417" spans="1:12" ht="14.25" customHeight="1" x14ac:dyDescent="0.25">
      <c r="A417" s="10"/>
      <c r="C417" s="10"/>
      <c r="F417" s="8"/>
      <c r="G417" s="10"/>
      <c r="H417" s="10"/>
      <c r="I417" s="10"/>
      <c r="J417" s="11"/>
      <c r="K417" s="10"/>
      <c r="L417" s="12"/>
    </row>
    <row r="418" spans="1:12" ht="14.25" customHeight="1" x14ac:dyDescent="0.25">
      <c r="A418" s="10"/>
      <c r="C418" s="10"/>
      <c r="F418" s="8"/>
      <c r="G418" s="10"/>
      <c r="H418" s="10"/>
      <c r="I418" s="10"/>
      <c r="J418" s="11"/>
      <c r="K418" s="10"/>
      <c r="L418" s="12"/>
    </row>
    <row r="419" spans="1:12" ht="14.25" customHeight="1" x14ac:dyDescent="0.25">
      <c r="A419" s="10"/>
      <c r="C419" s="10"/>
      <c r="F419" s="8"/>
      <c r="G419" s="10"/>
      <c r="H419" s="10"/>
      <c r="I419" s="10"/>
      <c r="J419" s="11"/>
      <c r="K419" s="10"/>
      <c r="L419" s="12"/>
    </row>
    <row r="420" spans="1:12" ht="14.25" customHeight="1" x14ac:dyDescent="0.25">
      <c r="A420" s="10"/>
      <c r="C420" s="10"/>
      <c r="F420" s="8"/>
      <c r="G420" s="10"/>
      <c r="H420" s="10"/>
      <c r="I420" s="10"/>
      <c r="J420" s="11"/>
      <c r="K420" s="10"/>
      <c r="L420" s="12"/>
    </row>
    <row r="421" spans="1:12" ht="14.25" customHeight="1" x14ac:dyDescent="0.25">
      <c r="A421" s="10"/>
      <c r="C421" s="10"/>
      <c r="F421" s="8"/>
      <c r="G421" s="10"/>
      <c r="H421" s="10"/>
      <c r="I421" s="10"/>
      <c r="J421" s="11"/>
      <c r="K421" s="10"/>
      <c r="L421" s="12"/>
    </row>
    <row r="422" spans="1:12" ht="14.25" customHeight="1" x14ac:dyDescent="0.25">
      <c r="A422" s="10"/>
      <c r="C422" s="10"/>
      <c r="F422" s="8"/>
      <c r="G422" s="10"/>
      <c r="H422" s="10"/>
      <c r="I422" s="10"/>
      <c r="J422" s="11"/>
      <c r="K422" s="10"/>
      <c r="L422" s="12"/>
    </row>
    <row r="423" spans="1:12" ht="14.25" customHeight="1" x14ac:dyDescent="0.25">
      <c r="A423" s="10"/>
      <c r="C423" s="10"/>
      <c r="F423" s="8"/>
      <c r="G423" s="10"/>
      <c r="H423" s="10"/>
      <c r="I423" s="10"/>
      <c r="J423" s="11"/>
      <c r="K423" s="10"/>
      <c r="L423" s="12"/>
    </row>
    <row r="424" spans="1:12" ht="14.25" customHeight="1" x14ac:dyDescent="0.25">
      <c r="A424" s="10"/>
      <c r="C424" s="10"/>
      <c r="F424" s="8"/>
      <c r="G424" s="10"/>
      <c r="H424" s="10"/>
      <c r="I424" s="10"/>
      <c r="J424" s="11"/>
      <c r="K424" s="10"/>
      <c r="L424" s="12"/>
    </row>
    <row r="425" spans="1:12" ht="14.25" customHeight="1" x14ac:dyDescent="0.25">
      <c r="A425" s="10"/>
      <c r="C425" s="10"/>
      <c r="F425" s="8"/>
      <c r="G425" s="10"/>
      <c r="H425" s="10"/>
      <c r="I425" s="10"/>
      <c r="J425" s="11"/>
      <c r="K425" s="10"/>
      <c r="L425" s="12"/>
    </row>
    <row r="426" spans="1:12" ht="14.25" customHeight="1" x14ac:dyDescent="0.25">
      <c r="A426" s="10"/>
      <c r="C426" s="10"/>
      <c r="F426" s="8"/>
      <c r="G426" s="10"/>
      <c r="H426" s="10"/>
      <c r="I426" s="10"/>
      <c r="J426" s="11"/>
      <c r="K426" s="10"/>
      <c r="L426" s="12"/>
    </row>
    <row r="427" spans="1:12" ht="14.25" customHeight="1" x14ac:dyDescent="0.25">
      <c r="A427" s="10"/>
      <c r="C427" s="10"/>
      <c r="F427" s="8"/>
      <c r="G427" s="10"/>
      <c r="H427" s="10"/>
      <c r="I427" s="10"/>
      <c r="J427" s="11"/>
      <c r="K427" s="10"/>
      <c r="L427" s="12"/>
    </row>
    <row r="428" spans="1:12" ht="14.25" customHeight="1" x14ac:dyDescent="0.25">
      <c r="A428" s="10"/>
      <c r="C428" s="10"/>
      <c r="F428" s="8"/>
      <c r="G428" s="10"/>
      <c r="H428" s="10"/>
      <c r="I428" s="10"/>
      <c r="J428" s="11"/>
      <c r="K428" s="10"/>
      <c r="L428" s="12"/>
    </row>
    <row r="429" spans="1:12" ht="14.25" customHeight="1" x14ac:dyDescent="0.25">
      <c r="A429" s="10"/>
      <c r="C429" s="10"/>
      <c r="F429" s="8"/>
      <c r="G429" s="10"/>
      <c r="H429" s="10"/>
      <c r="I429" s="10"/>
      <c r="J429" s="11"/>
      <c r="K429" s="10"/>
      <c r="L429" s="12"/>
    </row>
    <row r="430" spans="1:12" ht="14.25" customHeight="1" x14ac:dyDescent="0.25">
      <c r="A430" s="10"/>
      <c r="C430" s="10"/>
      <c r="F430" s="8"/>
      <c r="G430" s="10"/>
      <c r="H430" s="10"/>
      <c r="I430" s="10"/>
      <c r="J430" s="11"/>
      <c r="K430" s="10"/>
      <c r="L430" s="12"/>
    </row>
    <row r="431" spans="1:12" ht="14.25" customHeight="1" x14ac:dyDescent="0.25">
      <c r="A431" s="10"/>
      <c r="C431" s="10"/>
      <c r="F431" s="8"/>
      <c r="G431" s="10"/>
      <c r="H431" s="10"/>
      <c r="I431" s="10"/>
      <c r="J431" s="11"/>
      <c r="K431" s="10"/>
      <c r="L431" s="12"/>
    </row>
    <row r="432" spans="1:12" ht="14.25" customHeight="1" x14ac:dyDescent="0.25">
      <c r="A432" s="10"/>
      <c r="C432" s="10"/>
      <c r="F432" s="8"/>
      <c r="G432" s="10"/>
      <c r="H432" s="10"/>
      <c r="I432" s="10"/>
      <c r="J432" s="11"/>
      <c r="K432" s="10"/>
      <c r="L432" s="12"/>
    </row>
    <row r="433" spans="1:12" ht="14.25" customHeight="1" x14ac:dyDescent="0.25">
      <c r="A433" s="10"/>
      <c r="C433" s="10"/>
      <c r="F433" s="8"/>
      <c r="G433" s="10"/>
      <c r="H433" s="10"/>
      <c r="I433" s="10"/>
      <c r="J433" s="11"/>
      <c r="K433" s="10"/>
      <c r="L433" s="12"/>
    </row>
    <row r="434" spans="1:12" ht="14.25" customHeight="1" x14ac:dyDescent="0.25">
      <c r="A434" s="10"/>
      <c r="C434" s="10"/>
      <c r="F434" s="8"/>
      <c r="G434" s="10"/>
      <c r="H434" s="10"/>
      <c r="I434" s="10"/>
      <c r="J434" s="11"/>
      <c r="K434" s="10"/>
      <c r="L434" s="12"/>
    </row>
    <row r="435" spans="1:12" ht="14.25" customHeight="1" x14ac:dyDescent="0.25">
      <c r="A435" s="10"/>
      <c r="C435" s="10"/>
      <c r="F435" s="8"/>
      <c r="G435" s="10"/>
      <c r="H435" s="10"/>
      <c r="I435" s="10"/>
      <c r="J435" s="11"/>
      <c r="K435" s="10"/>
      <c r="L435" s="12"/>
    </row>
    <row r="436" spans="1:12" ht="14.25" customHeight="1" x14ac:dyDescent="0.25">
      <c r="A436" s="10"/>
      <c r="C436" s="10"/>
      <c r="F436" s="8"/>
      <c r="G436" s="10"/>
      <c r="H436" s="10"/>
      <c r="I436" s="10"/>
      <c r="J436" s="11"/>
      <c r="K436" s="10"/>
      <c r="L436" s="12"/>
    </row>
    <row r="437" spans="1:12" ht="14.25" customHeight="1" x14ac:dyDescent="0.25">
      <c r="A437" s="10"/>
      <c r="C437" s="10"/>
      <c r="F437" s="8"/>
      <c r="G437" s="10"/>
      <c r="H437" s="10"/>
      <c r="I437" s="10"/>
      <c r="J437" s="11"/>
      <c r="K437" s="10"/>
      <c r="L437" s="12"/>
    </row>
    <row r="438" spans="1:12" ht="14.25" customHeight="1" x14ac:dyDescent="0.25">
      <c r="A438" s="10"/>
      <c r="C438" s="10"/>
      <c r="F438" s="8"/>
      <c r="G438" s="10"/>
      <c r="H438" s="10"/>
      <c r="I438" s="10"/>
      <c r="J438" s="11"/>
      <c r="K438" s="10"/>
      <c r="L438" s="12"/>
    </row>
    <row r="439" spans="1:12" ht="14.25" customHeight="1" x14ac:dyDescent="0.25">
      <c r="A439" s="10"/>
      <c r="C439" s="10"/>
      <c r="F439" s="8"/>
      <c r="G439" s="10"/>
      <c r="H439" s="10"/>
      <c r="I439" s="10"/>
      <c r="J439" s="11"/>
      <c r="K439" s="10"/>
      <c r="L439" s="12"/>
    </row>
    <row r="440" spans="1:12" ht="14.25" customHeight="1" x14ac:dyDescent="0.25">
      <c r="A440" s="10"/>
      <c r="C440" s="10"/>
      <c r="F440" s="8"/>
      <c r="G440" s="10"/>
      <c r="H440" s="10"/>
      <c r="I440" s="10"/>
      <c r="J440" s="11"/>
      <c r="K440" s="10"/>
      <c r="L440" s="12"/>
    </row>
    <row r="441" spans="1:12" ht="14.25" customHeight="1" x14ac:dyDescent="0.25">
      <c r="A441" s="10"/>
      <c r="C441" s="10"/>
      <c r="F441" s="8"/>
      <c r="G441" s="10"/>
      <c r="H441" s="10"/>
      <c r="I441" s="10"/>
      <c r="J441" s="11"/>
      <c r="K441" s="10"/>
      <c r="L441" s="12"/>
    </row>
    <row r="442" spans="1:12" ht="14.25" customHeight="1" x14ac:dyDescent="0.25">
      <c r="A442" s="10"/>
      <c r="C442" s="10"/>
      <c r="F442" s="8"/>
      <c r="G442" s="10"/>
      <c r="H442" s="10"/>
      <c r="I442" s="10"/>
      <c r="J442" s="11"/>
      <c r="K442" s="10"/>
      <c r="L442" s="12"/>
    </row>
    <row r="443" spans="1:12" ht="14.25" customHeight="1" x14ac:dyDescent="0.25">
      <c r="A443" s="10"/>
      <c r="C443" s="10"/>
      <c r="F443" s="8"/>
      <c r="G443" s="10"/>
      <c r="H443" s="10"/>
      <c r="I443" s="10"/>
      <c r="J443" s="11"/>
      <c r="K443" s="10"/>
      <c r="L443" s="12"/>
    </row>
    <row r="444" spans="1:12" ht="14.25" customHeight="1" x14ac:dyDescent="0.25">
      <c r="A444" s="10"/>
      <c r="C444" s="10"/>
      <c r="F444" s="8"/>
      <c r="G444" s="10"/>
      <c r="H444" s="10"/>
      <c r="I444" s="10"/>
      <c r="J444" s="11"/>
      <c r="K444" s="10"/>
      <c r="L444" s="12"/>
    </row>
    <row r="445" spans="1:12" ht="14.25" customHeight="1" x14ac:dyDescent="0.25">
      <c r="A445" s="10"/>
      <c r="C445" s="10"/>
      <c r="F445" s="8"/>
      <c r="G445" s="10"/>
      <c r="H445" s="10"/>
      <c r="I445" s="10"/>
      <c r="J445" s="11"/>
      <c r="K445" s="10"/>
      <c r="L445" s="12"/>
    </row>
    <row r="446" spans="1:12" ht="14.25" customHeight="1" x14ac:dyDescent="0.25">
      <c r="A446" s="10"/>
      <c r="C446" s="10"/>
      <c r="F446" s="8"/>
      <c r="G446" s="10"/>
      <c r="H446" s="10"/>
      <c r="I446" s="10"/>
      <c r="J446" s="11"/>
      <c r="K446" s="10"/>
      <c r="L446" s="12"/>
    </row>
    <row r="447" spans="1:12" ht="14.25" customHeight="1" x14ac:dyDescent="0.25">
      <c r="A447" s="10"/>
      <c r="C447" s="10"/>
      <c r="F447" s="8"/>
      <c r="G447" s="10"/>
      <c r="H447" s="10"/>
      <c r="I447" s="10"/>
      <c r="J447" s="11"/>
      <c r="K447" s="10"/>
      <c r="L447" s="12"/>
    </row>
    <row r="448" spans="1:12" ht="14.25" customHeight="1" x14ac:dyDescent="0.25">
      <c r="A448" s="10"/>
      <c r="C448" s="10"/>
      <c r="F448" s="8"/>
      <c r="G448" s="10"/>
      <c r="H448" s="10"/>
      <c r="I448" s="10"/>
      <c r="J448" s="11"/>
      <c r="K448" s="10"/>
      <c r="L448" s="12"/>
    </row>
    <row r="449" spans="1:12" ht="14.25" customHeight="1" x14ac:dyDescent="0.25">
      <c r="A449" s="10"/>
      <c r="C449" s="10"/>
      <c r="F449" s="8"/>
      <c r="G449" s="10"/>
      <c r="H449" s="10"/>
      <c r="I449" s="10"/>
      <c r="J449" s="11"/>
      <c r="K449" s="10"/>
      <c r="L449" s="12"/>
    </row>
    <row r="450" spans="1:12" ht="14.25" customHeight="1" x14ac:dyDescent="0.25">
      <c r="A450" s="10"/>
      <c r="C450" s="10"/>
      <c r="F450" s="8"/>
      <c r="G450" s="10"/>
      <c r="H450" s="10"/>
      <c r="I450" s="10"/>
      <c r="J450" s="11"/>
      <c r="K450" s="10"/>
      <c r="L450" s="12"/>
    </row>
    <row r="451" spans="1:12" ht="14.25" customHeight="1" x14ac:dyDescent="0.25">
      <c r="A451" s="10"/>
      <c r="C451" s="10"/>
      <c r="F451" s="8"/>
      <c r="G451" s="10"/>
      <c r="H451" s="10"/>
      <c r="I451" s="10"/>
      <c r="J451" s="11"/>
      <c r="K451" s="10"/>
      <c r="L451" s="12"/>
    </row>
    <row r="452" spans="1:12" ht="14.25" customHeight="1" x14ac:dyDescent="0.25">
      <c r="A452" s="10"/>
      <c r="C452" s="10"/>
      <c r="F452" s="8"/>
      <c r="G452" s="10"/>
      <c r="H452" s="10"/>
      <c r="I452" s="10"/>
      <c r="J452" s="11"/>
      <c r="K452" s="10"/>
      <c r="L452" s="12"/>
    </row>
    <row r="453" spans="1:12" ht="14.25" customHeight="1" x14ac:dyDescent="0.25">
      <c r="A453" s="10"/>
      <c r="C453" s="10"/>
      <c r="F453" s="8"/>
      <c r="G453" s="10"/>
      <c r="H453" s="10"/>
      <c r="I453" s="10"/>
      <c r="J453" s="11"/>
      <c r="K453" s="10"/>
      <c r="L453" s="12"/>
    </row>
    <row r="454" spans="1:12" ht="14.25" customHeight="1" x14ac:dyDescent="0.25">
      <c r="A454" s="10"/>
      <c r="C454" s="10"/>
      <c r="F454" s="8"/>
      <c r="G454" s="10"/>
      <c r="H454" s="10"/>
      <c r="I454" s="10"/>
      <c r="J454" s="11"/>
      <c r="K454" s="10"/>
      <c r="L454" s="12"/>
    </row>
    <row r="455" spans="1:12" ht="14.25" customHeight="1" x14ac:dyDescent="0.25">
      <c r="A455" s="10"/>
      <c r="C455" s="10"/>
      <c r="F455" s="8"/>
      <c r="G455" s="10"/>
      <c r="H455" s="10"/>
      <c r="I455" s="10"/>
      <c r="J455" s="11"/>
      <c r="K455" s="10"/>
      <c r="L455" s="12"/>
    </row>
    <row r="456" spans="1:12" ht="14.25" customHeight="1" x14ac:dyDescent="0.25">
      <c r="A456" s="10"/>
      <c r="C456" s="10"/>
      <c r="F456" s="8"/>
      <c r="G456" s="10"/>
      <c r="H456" s="10"/>
      <c r="I456" s="10"/>
      <c r="J456" s="11"/>
      <c r="K456" s="10"/>
      <c r="L456" s="12"/>
    </row>
    <row r="457" spans="1:12" ht="14.25" customHeight="1" x14ac:dyDescent="0.25">
      <c r="A457" s="10"/>
      <c r="C457" s="10"/>
      <c r="F457" s="8"/>
      <c r="G457" s="10"/>
      <c r="H457" s="10"/>
      <c r="I457" s="10"/>
      <c r="J457" s="11"/>
      <c r="K457" s="10"/>
      <c r="L457" s="12"/>
    </row>
    <row r="458" spans="1:12" ht="14.25" customHeight="1" x14ac:dyDescent="0.25">
      <c r="A458" s="10"/>
      <c r="C458" s="10"/>
      <c r="F458" s="8"/>
      <c r="G458" s="10"/>
      <c r="H458" s="10"/>
      <c r="I458" s="10"/>
      <c r="J458" s="11"/>
      <c r="K458" s="10"/>
      <c r="L458" s="12"/>
    </row>
    <row r="459" spans="1:12" ht="14.25" customHeight="1" x14ac:dyDescent="0.25">
      <c r="A459" s="10"/>
      <c r="C459" s="10"/>
      <c r="F459" s="8"/>
      <c r="G459" s="10"/>
      <c r="H459" s="10"/>
      <c r="I459" s="10"/>
      <c r="J459" s="11"/>
      <c r="K459" s="10"/>
      <c r="L459" s="12"/>
    </row>
    <row r="460" spans="1:12" ht="14.25" customHeight="1" x14ac:dyDescent="0.25">
      <c r="A460" s="10"/>
      <c r="C460" s="10"/>
      <c r="F460" s="8"/>
      <c r="G460" s="10"/>
      <c r="H460" s="10"/>
      <c r="I460" s="10"/>
      <c r="J460" s="11"/>
      <c r="K460" s="10"/>
      <c r="L460" s="12"/>
    </row>
    <row r="461" spans="1:12" ht="14.25" customHeight="1" x14ac:dyDescent="0.25">
      <c r="A461" s="10"/>
      <c r="C461" s="10"/>
      <c r="F461" s="8"/>
      <c r="G461" s="10"/>
      <c r="H461" s="10"/>
      <c r="I461" s="10"/>
      <c r="J461" s="11"/>
      <c r="K461" s="10"/>
      <c r="L461" s="12"/>
    </row>
    <row r="462" spans="1:12" ht="14.25" customHeight="1" x14ac:dyDescent="0.25">
      <c r="A462" s="10"/>
      <c r="C462" s="10"/>
      <c r="F462" s="8"/>
      <c r="G462" s="10"/>
      <c r="H462" s="10"/>
      <c r="I462" s="10"/>
      <c r="J462" s="11"/>
      <c r="K462" s="10"/>
      <c r="L462" s="12"/>
    </row>
    <row r="463" spans="1:12" ht="14.25" customHeight="1" x14ac:dyDescent="0.25">
      <c r="A463" s="10"/>
      <c r="C463" s="10"/>
      <c r="F463" s="8"/>
      <c r="G463" s="10"/>
      <c r="H463" s="10"/>
      <c r="I463" s="10"/>
      <c r="J463" s="11"/>
      <c r="K463" s="10"/>
      <c r="L463" s="12"/>
    </row>
    <row r="464" spans="1:12" ht="14.25" customHeight="1" x14ac:dyDescent="0.25">
      <c r="A464" s="10"/>
      <c r="C464" s="10"/>
      <c r="F464" s="8"/>
      <c r="G464" s="10"/>
      <c r="H464" s="10"/>
      <c r="I464" s="10"/>
      <c r="J464" s="11"/>
      <c r="K464" s="10"/>
      <c r="L464" s="12"/>
    </row>
    <row r="465" spans="1:12" ht="14.25" customHeight="1" x14ac:dyDescent="0.25">
      <c r="A465" s="10"/>
      <c r="C465" s="10"/>
      <c r="F465" s="8"/>
      <c r="G465" s="10"/>
      <c r="H465" s="10"/>
      <c r="I465" s="10"/>
      <c r="J465" s="11"/>
      <c r="K465" s="10"/>
      <c r="L465" s="12"/>
    </row>
    <row r="466" spans="1:12" ht="14.25" customHeight="1" x14ac:dyDescent="0.25">
      <c r="A466" s="10"/>
      <c r="C466" s="10"/>
      <c r="F466" s="8"/>
      <c r="G466" s="10"/>
      <c r="H466" s="10"/>
      <c r="I466" s="10"/>
      <c r="J466" s="11"/>
      <c r="K466" s="10"/>
      <c r="L466" s="12"/>
    </row>
    <row r="467" spans="1:12" ht="14.25" customHeight="1" x14ac:dyDescent="0.25">
      <c r="A467" s="10"/>
      <c r="C467" s="10"/>
      <c r="F467" s="8"/>
      <c r="G467" s="10"/>
      <c r="H467" s="10"/>
      <c r="I467" s="10"/>
      <c r="J467" s="11"/>
      <c r="K467" s="10"/>
      <c r="L467" s="12"/>
    </row>
    <row r="468" spans="1:12" ht="14.25" customHeight="1" x14ac:dyDescent="0.25">
      <c r="A468" s="10"/>
      <c r="C468" s="10"/>
      <c r="F468" s="8"/>
      <c r="G468" s="10"/>
      <c r="H468" s="10"/>
      <c r="I468" s="10"/>
      <c r="J468" s="11"/>
      <c r="K468" s="10"/>
      <c r="L468" s="12"/>
    </row>
    <row r="469" spans="1:12" ht="14.25" customHeight="1" x14ac:dyDescent="0.25">
      <c r="A469" s="10"/>
      <c r="C469" s="10"/>
      <c r="F469" s="8"/>
      <c r="G469" s="10"/>
      <c r="H469" s="10"/>
      <c r="I469" s="10"/>
      <c r="J469" s="11"/>
      <c r="K469" s="10"/>
      <c r="L469" s="12"/>
    </row>
    <row r="470" spans="1:12" ht="14.25" customHeight="1" x14ac:dyDescent="0.25">
      <c r="A470" s="10"/>
      <c r="C470" s="10"/>
      <c r="F470" s="8"/>
      <c r="G470" s="10"/>
      <c r="H470" s="10"/>
      <c r="I470" s="10"/>
      <c r="J470" s="11"/>
      <c r="K470" s="10"/>
      <c r="L470" s="12"/>
    </row>
    <row r="471" spans="1:12" ht="14.25" customHeight="1" x14ac:dyDescent="0.25">
      <c r="A471" s="10"/>
      <c r="C471" s="10"/>
      <c r="F471" s="8"/>
      <c r="G471" s="10"/>
      <c r="H471" s="10"/>
      <c r="I471" s="10"/>
      <c r="J471" s="11"/>
      <c r="K471" s="10"/>
      <c r="L471" s="12"/>
    </row>
    <row r="472" spans="1:12" ht="14.25" customHeight="1" x14ac:dyDescent="0.25">
      <c r="A472" s="10"/>
      <c r="C472" s="10"/>
      <c r="F472" s="8"/>
      <c r="G472" s="10"/>
      <c r="H472" s="10"/>
      <c r="I472" s="10"/>
      <c r="J472" s="11"/>
      <c r="K472" s="10"/>
      <c r="L472" s="12"/>
    </row>
    <row r="473" spans="1:12" ht="14.25" customHeight="1" x14ac:dyDescent="0.25">
      <c r="A473" s="10"/>
      <c r="C473" s="10"/>
      <c r="F473" s="8"/>
      <c r="G473" s="10"/>
      <c r="H473" s="10"/>
      <c r="I473" s="10"/>
      <c r="J473" s="11"/>
      <c r="K473" s="10"/>
      <c r="L473" s="12"/>
    </row>
    <row r="474" spans="1:12" ht="14.25" customHeight="1" x14ac:dyDescent="0.25">
      <c r="A474" s="10"/>
      <c r="C474" s="10"/>
      <c r="F474" s="8"/>
      <c r="G474" s="10"/>
      <c r="H474" s="10"/>
      <c r="I474" s="10"/>
      <c r="J474" s="11"/>
      <c r="K474" s="10"/>
      <c r="L474" s="12"/>
    </row>
    <row r="475" spans="1:12" ht="14.25" customHeight="1" x14ac:dyDescent="0.25">
      <c r="A475" s="10"/>
      <c r="C475" s="10"/>
      <c r="F475" s="8"/>
      <c r="G475" s="10"/>
      <c r="H475" s="10"/>
      <c r="I475" s="10"/>
      <c r="J475" s="11"/>
      <c r="K475" s="10"/>
      <c r="L475" s="12"/>
    </row>
    <row r="476" spans="1:12" ht="14.25" customHeight="1" x14ac:dyDescent="0.25">
      <c r="A476" s="10"/>
      <c r="C476" s="10"/>
      <c r="F476" s="8"/>
      <c r="G476" s="10"/>
      <c r="H476" s="10"/>
      <c r="I476" s="10"/>
      <c r="J476" s="11"/>
      <c r="K476" s="10"/>
      <c r="L476" s="12"/>
    </row>
    <row r="477" spans="1:12" ht="14.25" customHeight="1" x14ac:dyDescent="0.25">
      <c r="A477" s="10"/>
      <c r="C477" s="10"/>
      <c r="F477" s="8"/>
      <c r="G477" s="10"/>
      <c r="H477" s="10"/>
      <c r="I477" s="10"/>
      <c r="J477" s="11"/>
      <c r="K477" s="10"/>
      <c r="L477" s="12"/>
    </row>
    <row r="478" spans="1:12" ht="14.25" customHeight="1" x14ac:dyDescent="0.25">
      <c r="A478" s="10"/>
      <c r="C478" s="10"/>
      <c r="F478" s="8"/>
      <c r="G478" s="10"/>
      <c r="H478" s="10"/>
      <c r="I478" s="10"/>
      <c r="J478" s="11"/>
      <c r="K478" s="10"/>
      <c r="L478" s="12"/>
    </row>
    <row r="479" spans="1:12" ht="14.25" customHeight="1" x14ac:dyDescent="0.25">
      <c r="A479" s="10"/>
      <c r="C479" s="10"/>
      <c r="F479" s="8"/>
      <c r="G479" s="10"/>
      <c r="H479" s="10"/>
      <c r="I479" s="10"/>
      <c r="J479" s="11"/>
      <c r="K479" s="10"/>
      <c r="L479" s="12"/>
    </row>
    <row r="480" spans="1:12" ht="14.25" customHeight="1" x14ac:dyDescent="0.25">
      <c r="A480" s="10"/>
      <c r="C480" s="10"/>
      <c r="F480" s="8"/>
      <c r="G480" s="10"/>
      <c r="H480" s="10"/>
      <c r="I480" s="10"/>
      <c r="J480" s="11"/>
      <c r="K480" s="10"/>
      <c r="L480" s="12"/>
    </row>
    <row r="481" spans="1:12" ht="14.25" customHeight="1" x14ac:dyDescent="0.25">
      <c r="A481" s="10"/>
      <c r="C481" s="10"/>
      <c r="F481" s="8"/>
      <c r="G481" s="10"/>
      <c r="H481" s="10"/>
      <c r="I481" s="10"/>
      <c r="J481" s="11"/>
      <c r="K481" s="10"/>
      <c r="L481" s="12"/>
    </row>
    <row r="482" spans="1:12" ht="14.25" customHeight="1" x14ac:dyDescent="0.25">
      <c r="A482" s="10"/>
      <c r="C482" s="10"/>
      <c r="F482" s="8"/>
      <c r="G482" s="10"/>
      <c r="H482" s="10"/>
      <c r="I482" s="10"/>
      <c r="J482" s="11"/>
      <c r="K482" s="10"/>
      <c r="L482" s="12"/>
    </row>
    <row r="483" spans="1:12" ht="14.25" customHeight="1" x14ac:dyDescent="0.25">
      <c r="A483" s="10"/>
      <c r="C483" s="10"/>
      <c r="F483" s="8"/>
      <c r="G483" s="10"/>
      <c r="H483" s="10"/>
      <c r="I483" s="10"/>
      <c r="J483" s="11"/>
      <c r="K483" s="10"/>
      <c r="L483" s="12"/>
    </row>
    <row r="484" spans="1:12" ht="14.25" customHeight="1" x14ac:dyDescent="0.25">
      <c r="A484" s="10"/>
      <c r="C484" s="10"/>
      <c r="F484" s="8"/>
      <c r="G484" s="10"/>
      <c r="H484" s="10"/>
      <c r="I484" s="10"/>
      <c r="J484" s="11"/>
      <c r="K484" s="10"/>
      <c r="L484" s="12"/>
    </row>
    <row r="485" spans="1:12" ht="14.25" customHeight="1" x14ac:dyDescent="0.25">
      <c r="A485" s="10"/>
      <c r="C485" s="10"/>
      <c r="F485" s="8"/>
      <c r="G485" s="10"/>
      <c r="H485" s="10"/>
      <c r="I485" s="10"/>
      <c r="J485" s="11"/>
      <c r="K485" s="10"/>
      <c r="L485" s="12"/>
    </row>
    <row r="486" spans="1:12" ht="14.25" customHeight="1" x14ac:dyDescent="0.25">
      <c r="A486" s="10"/>
      <c r="C486" s="10"/>
      <c r="F486" s="8"/>
      <c r="G486" s="10"/>
      <c r="H486" s="10"/>
      <c r="I486" s="10"/>
      <c r="J486" s="11"/>
      <c r="K486" s="10"/>
      <c r="L486" s="12"/>
    </row>
    <row r="487" spans="1:12" ht="14.25" customHeight="1" x14ac:dyDescent="0.25">
      <c r="A487" s="10"/>
      <c r="C487" s="10"/>
      <c r="F487" s="8"/>
      <c r="G487" s="10"/>
      <c r="H487" s="10"/>
      <c r="I487" s="10"/>
      <c r="J487" s="11"/>
      <c r="K487" s="10"/>
      <c r="L487" s="12"/>
    </row>
    <row r="488" spans="1:12" ht="14.25" customHeight="1" x14ac:dyDescent="0.25">
      <c r="A488" s="10"/>
      <c r="C488" s="10"/>
      <c r="F488" s="8"/>
      <c r="G488" s="10"/>
      <c r="H488" s="10"/>
      <c r="I488" s="10"/>
      <c r="J488" s="11"/>
      <c r="K488" s="10"/>
      <c r="L488" s="12"/>
    </row>
    <row r="489" spans="1:12" ht="14.25" customHeight="1" x14ac:dyDescent="0.25">
      <c r="A489" s="10"/>
      <c r="C489" s="10"/>
      <c r="F489" s="8"/>
      <c r="G489" s="10"/>
      <c r="H489" s="10"/>
      <c r="I489" s="10"/>
      <c r="J489" s="11"/>
      <c r="K489" s="10"/>
      <c r="L489" s="12"/>
    </row>
    <row r="490" spans="1:12" ht="14.25" customHeight="1" x14ac:dyDescent="0.25">
      <c r="A490" s="10"/>
      <c r="C490" s="10"/>
      <c r="F490" s="8"/>
      <c r="G490" s="10"/>
      <c r="H490" s="10"/>
      <c r="I490" s="10"/>
      <c r="J490" s="11"/>
      <c r="K490" s="10"/>
      <c r="L490" s="12"/>
    </row>
    <row r="491" spans="1:12" ht="14.25" customHeight="1" x14ac:dyDescent="0.25">
      <c r="A491" s="10"/>
      <c r="C491" s="10"/>
      <c r="F491" s="8"/>
      <c r="G491" s="10"/>
      <c r="H491" s="10"/>
      <c r="I491" s="10"/>
      <c r="J491" s="11"/>
      <c r="K491" s="10"/>
      <c r="L491" s="12"/>
    </row>
    <row r="492" spans="1:12" ht="14.25" customHeight="1" x14ac:dyDescent="0.25">
      <c r="A492" s="10"/>
      <c r="C492" s="10"/>
      <c r="F492" s="8"/>
      <c r="G492" s="10"/>
      <c r="H492" s="10"/>
      <c r="I492" s="10"/>
      <c r="J492" s="11"/>
      <c r="K492" s="10"/>
      <c r="L492" s="12"/>
    </row>
    <row r="493" spans="1:12" ht="14.25" customHeight="1" x14ac:dyDescent="0.25">
      <c r="A493" s="10"/>
      <c r="C493" s="10"/>
      <c r="F493" s="8"/>
      <c r="G493" s="10"/>
      <c r="H493" s="10"/>
      <c r="I493" s="10"/>
      <c r="J493" s="11"/>
      <c r="K493" s="10"/>
      <c r="L493" s="12"/>
    </row>
    <row r="494" spans="1:12" ht="14.25" customHeight="1" x14ac:dyDescent="0.25">
      <c r="A494" s="10"/>
      <c r="C494" s="10"/>
      <c r="F494" s="8"/>
      <c r="G494" s="10"/>
      <c r="H494" s="10"/>
      <c r="I494" s="10"/>
      <c r="J494" s="11"/>
      <c r="K494" s="10"/>
      <c r="L494" s="12"/>
    </row>
    <row r="495" spans="1:12" ht="14.25" customHeight="1" x14ac:dyDescent="0.25">
      <c r="A495" s="10"/>
      <c r="C495" s="10"/>
      <c r="F495" s="8"/>
      <c r="G495" s="10"/>
      <c r="H495" s="10"/>
      <c r="I495" s="10"/>
      <c r="J495" s="11"/>
      <c r="K495" s="10"/>
      <c r="L495" s="12"/>
    </row>
    <row r="496" spans="1:12" ht="14.25" customHeight="1" x14ac:dyDescent="0.25">
      <c r="A496" s="10"/>
      <c r="C496" s="10"/>
      <c r="F496" s="8"/>
      <c r="G496" s="10"/>
      <c r="H496" s="10"/>
      <c r="I496" s="10"/>
      <c r="J496" s="11"/>
      <c r="K496" s="10"/>
      <c r="L496" s="12"/>
    </row>
    <row r="497" spans="1:12" ht="14.25" customHeight="1" x14ac:dyDescent="0.25">
      <c r="A497" s="10"/>
      <c r="C497" s="10"/>
      <c r="F497" s="8"/>
      <c r="G497" s="10"/>
      <c r="H497" s="10"/>
      <c r="I497" s="10"/>
      <c r="J497" s="11"/>
      <c r="K497" s="10"/>
      <c r="L497" s="12"/>
    </row>
    <row r="498" spans="1:12" ht="14.25" customHeight="1" x14ac:dyDescent="0.25">
      <c r="A498" s="10"/>
      <c r="C498" s="10"/>
      <c r="F498" s="8"/>
      <c r="G498" s="10"/>
      <c r="H498" s="10"/>
      <c r="I498" s="10"/>
      <c r="J498" s="11"/>
      <c r="K498" s="10"/>
      <c r="L498" s="12"/>
    </row>
    <row r="499" spans="1:12" ht="14.25" customHeight="1" x14ac:dyDescent="0.25">
      <c r="A499" s="10"/>
      <c r="C499" s="10"/>
      <c r="F499" s="8"/>
      <c r="G499" s="10"/>
      <c r="H499" s="10"/>
      <c r="I499" s="10"/>
      <c r="J499" s="11"/>
      <c r="K499" s="10"/>
      <c r="L499" s="12"/>
    </row>
    <row r="500" spans="1:12" ht="14.25" customHeight="1" x14ac:dyDescent="0.25">
      <c r="A500" s="10"/>
      <c r="C500" s="10"/>
      <c r="F500" s="8"/>
      <c r="G500" s="10"/>
      <c r="H500" s="10"/>
      <c r="I500" s="10"/>
      <c r="J500" s="11"/>
      <c r="K500" s="10"/>
      <c r="L500" s="12"/>
    </row>
    <row r="501" spans="1:12" ht="14.25" customHeight="1" x14ac:dyDescent="0.25">
      <c r="A501" s="10"/>
      <c r="C501" s="10"/>
      <c r="F501" s="8"/>
      <c r="G501" s="10"/>
      <c r="H501" s="10"/>
      <c r="I501" s="10"/>
      <c r="J501" s="11"/>
      <c r="K501" s="10"/>
      <c r="L501" s="12"/>
    </row>
    <row r="502" spans="1:12" ht="14.25" customHeight="1" x14ac:dyDescent="0.25">
      <c r="A502" s="10"/>
      <c r="C502" s="10"/>
      <c r="F502" s="8"/>
      <c r="G502" s="10"/>
      <c r="H502" s="10"/>
      <c r="I502" s="10"/>
      <c r="J502" s="11"/>
      <c r="K502" s="10"/>
      <c r="L502" s="12"/>
    </row>
    <row r="503" spans="1:12" ht="14.25" customHeight="1" x14ac:dyDescent="0.25">
      <c r="A503" s="10"/>
      <c r="C503" s="10"/>
      <c r="F503" s="8"/>
      <c r="G503" s="10"/>
      <c r="H503" s="10"/>
      <c r="I503" s="10"/>
      <c r="J503" s="11"/>
      <c r="K503" s="10"/>
      <c r="L503" s="12"/>
    </row>
    <row r="504" spans="1:12" ht="14.25" customHeight="1" x14ac:dyDescent="0.25">
      <c r="A504" s="10"/>
      <c r="C504" s="10"/>
      <c r="F504" s="8"/>
      <c r="G504" s="10"/>
      <c r="H504" s="10"/>
      <c r="I504" s="10"/>
      <c r="J504" s="11"/>
      <c r="K504" s="10"/>
      <c r="L504" s="12"/>
    </row>
    <row r="505" spans="1:12" ht="14.25" customHeight="1" x14ac:dyDescent="0.25">
      <c r="A505" s="10"/>
      <c r="C505" s="10"/>
      <c r="F505" s="8"/>
      <c r="G505" s="10"/>
      <c r="H505" s="10"/>
      <c r="I505" s="10"/>
      <c r="J505" s="11"/>
      <c r="K505" s="10"/>
      <c r="L505" s="12"/>
    </row>
    <row r="506" spans="1:12" ht="14.25" customHeight="1" x14ac:dyDescent="0.25">
      <c r="A506" s="10"/>
      <c r="C506" s="10"/>
      <c r="F506" s="8"/>
      <c r="G506" s="10"/>
      <c r="H506" s="10"/>
      <c r="I506" s="10"/>
      <c r="J506" s="11"/>
      <c r="K506" s="10"/>
      <c r="L506" s="12"/>
    </row>
    <row r="507" spans="1:12" ht="14.25" customHeight="1" x14ac:dyDescent="0.25">
      <c r="A507" s="10"/>
      <c r="C507" s="10"/>
      <c r="F507" s="8"/>
      <c r="G507" s="10"/>
      <c r="H507" s="10"/>
      <c r="I507" s="10"/>
      <c r="J507" s="11"/>
      <c r="K507" s="10"/>
      <c r="L507" s="12"/>
    </row>
    <row r="508" spans="1:12" ht="14.25" customHeight="1" x14ac:dyDescent="0.25">
      <c r="A508" s="10"/>
      <c r="C508" s="10"/>
      <c r="F508" s="8"/>
      <c r="G508" s="10"/>
      <c r="H508" s="10"/>
      <c r="I508" s="10"/>
      <c r="J508" s="11"/>
      <c r="K508" s="10"/>
      <c r="L508" s="12"/>
    </row>
    <row r="509" spans="1:12" ht="14.25" customHeight="1" x14ac:dyDescent="0.25">
      <c r="A509" s="10"/>
      <c r="C509" s="10"/>
      <c r="F509" s="8"/>
      <c r="G509" s="10"/>
      <c r="H509" s="10"/>
      <c r="I509" s="10"/>
      <c r="J509" s="11"/>
      <c r="K509" s="10"/>
      <c r="L509" s="12"/>
    </row>
    <row r="510" spans="1:12" ht="14.25" customHeight="1" x14ac:dyDescent="0.25">
      <c r="A510" s="10"/>
      <c r="C510" s="10"/>
      <c r="F510" s="8"/>
      <c r="G510" s="10"/>
      <c r="H510" s="10"/>
      <c r="I510" s="10"/>
      <c r="J510" s="11"/>
      <c r="K510" s="10"/>
      <c r="L510" s="12"/>
    </row>
    <row r="511" spans="1:12" ht="14.25" customHeight="1" x14ac:dyDescent="0.25">
      <c r="A511" s="10"/>
      <c r="C511" s="10"/>
      <c r="F511" s="8"/>
      <c r="G511" s="10"/>
      <c r="H511" s="10"/>
      <c r="I511" s="10"/>
      <c r="J511" s="11"/>
      <c r="K511" s="10"/>
      <c r="L511" s="12"/>
    </row>
    <row r="512" spans="1:12" ht="14.25" customHeight="1" x14ac:dyDescent="0.25">
      <c r="A512" s="10"/>
      <c r="C512" s="10"/>
      <c r="F512" s="8"/>
      <c r="G512" s="10"/>
      <c r="H512" s="10"/>
      <c r="I512" s="10"/>
      <c r="J512" s="11"/>
      <c r="K512" s="10"/>
      <c r="L512" s="12"/>
    </row>
    <row r="513" spans="1:12" ht="14.25" customHeight="1" x14ac:dyDescent="0.25">
      <c r="A513" s="10"/>
      <c r="C513" s="10"/>
      <c r="F513" s="8"/>
      <c r="G513" s="10"/>
      <c r="H513" s="10"/>
      <c r="I513" s="10"/>
      <c r="J513" s="11"/>
      <c r="K513" s="10"/>
      <c r="L513" s="12"/>
    </row>
    <row r="514" spans="1:12" ht="14.25" customHeight="1" x14ac:dyDescent="0.25">
      <c r="A514" s="10"/>
      <c r="C514" s="10"/>
      <c r="F514" s="8"/>
      <c r="G514" s="10"/>
      <c r="H514" s="10"/>
      <c r="I514" s="10"/>
      <c r="J514" s="11"/>
      <c r="K514" s="10"/>
      <c r="L514" s="12"/>
    </row>
    <row r="515" spans="1:12" ht="14.25" customHeight="1" x14ac:dyDescent="0.25">
      <c r="A515" s="10"/>
      <c r="C515" s="10"/>
      <c r="F515" s="8"/>
      <c r="G515" s="10"/>
      <c r="H515" s="10"/>
      <c r="I515" s="10"/>
      <c r="J515" s="11"/>
      <c r="K515" s="10"/>
      <c r="L515" s="12"/>
    </row>
    <row r="516" spans="1:12" ht="14.25" customHeight="1" x14ac:dyDescent="0.25">
      <c r="A516" s="10"/>
      <c r="C516" s="10"/>
      <c r="F516" s="8"/>
      <c r="G516" s="10"/>
      <c r="H516" s="10"/>
      <c r="I516" s="10"/>
      <c r="J516" s="11"/>
      <c r="K516" s="10"/>
      <c r="L516" s="12"/>
    </row>
    <row r="517" spans="1:12" ht="14.25" customHeight="1" x14ac:dyDescent="0.25">
      <c r="A517" s="10"/>
      <c r="C517" s="10"/>
      <c r="F517" s="8"/>
      <c r="G517" s="10"/>
      <c r="H517" s="10"/>
      <c r="I517" s="10"/>
      <c r="J517" s="11"/>
      <c r="K517" s="10"/>
      <c r="L517" s="12"/>
    </row>
    <row r="518" spans="1:12" ht="14.25" customHeight="1" x14ac:dyDescent="0.25">
      <c r="A518" s="10"/>
      <c r="C518" s="10"/>
      <c r="F518" s="8"/>
      <c r="G518" s="10"/>
      <c r="H518" s="10"/>
      <c r="I518" s="10"/>
      <c r="J518" s="11"/>
      <c r="K518" s="10"/>
      <c r="L518" s="12"/>
    </row>
    <row r="519" spans="1:12" ht="14.25" customHeight="1" x14ac:dyDescent="0.25">
      <c r="A519" s="10"/>
      <c r="C519" s="10"/>
      <c r="F519" s="8"/>
      <c r="G519" s="10"/>
      <c r="H519" s="10"/>
      <c r="I519" s="10"/>
      <c r="J519" s="11"/>
      <c r="K519" s="10"/>
      <c r="L519" s="12"/>
    </row>
    <row r="520" spans="1:12" ht="14.25" customHeight="1" x14ac:dyDescent="0.25">
      <c r="A520" s="10"/>
      <c r="C520" s="10"/>
      <c r="F520" s="8"/>
      <c r="G520" s="10"/>
      <c r="H520" s="10"/>
      <c r="I520" s="10"/>
      <c r="J520" s="11"/>
      <c r="K520" s="10"/>
      <c r="L520" s="12"/>
    </row>
    <row r="521" spans="1:12" ht="14.25" customHeight="1" x14ac:dyDescent="0.25">
      <c r="A521" s="10"/>
      <c r="C521" s="10"/>
      <c r="F521" s="8"/>
      <c r="G521" s="10"/>
      <c r="H521" s="10"/>
      <c r="I521" s="10"/>
      <c r="J521" s="11"/>
      <c r="K521" s="10"/>
      <c r="L521" s="12"/>
    </row>
    <row r="522" spans="1:12" ht="14.25" customHeight="1" x14ac:dyDescent="0.25">
      <c r="A522" s="10"/>
      <c r="C522" s="10"/>
      <c r="F522" s="8"/>
      <c r="G522" s="10"/>
      <c r="H522" s="10"/>
      <c r="I522" s="10"/>
      <c r="J522" s="11"/>
      <c r="K522" s="10"/>
      <c r="L522" s="12"/>
    </row>
    <row r="523" spans="1:12" ht="14.25" customHeight="1" x14ac:dyDescent="0.25">
      <c r="A523" s="10"/>
      <c r="C523" s="10"/>
      <c r="F523" s="8"/>
      <c r="G523" s="10"/>
      <c r="H523" s="10"/>
      <c r="I523" s="10"/>
      <c r="J523" s="11"/>
      <c r="K523" s="10"/>
      <c r="L523" s="12"/>
    </row>
    <row r="524" spans="1:12" ht="14.25" customHeight="1" x14ac:dyDescent="0.25">
      <c r="A524" s="10"/>
      <c r="C524" s="10"/>
      <c r="F524" s="8"/>
      <c r="G524" s="10"/>
      <c r="H524" s="10"/>
      <c r="I524" s="10"/>
      <c r="J524" s="11"/>
      <c r="K524" s="10"/>
      <c r="L524" s="12"/>
    </row>
    <row r="525" spans="1:12" ht="14.25" customHeight="1" x14ac:dyDescent="0.25">
      <c r="A525" s="10"/>
      <c r="C525" s="10"/>
      <c r="F525" s="8"/>
      <c r="G525" s="10"/>
      <c r="H525" s="10"/>
      <c r="I525" s="10"/>
      <c r="J525" s="11"/>
      <c r="K525" s="10"/>
      <c r="L525" s="12"/>
    </row>
    <row r="526" spans="1:12" ht="14.25" customHeight="1" x14ac:dyDescent="0.25">
      <c r="A526" s="10"/>
      <c r="C526" s="10"/>
      <c r="F526" s="8"/>
      <c r="G526" s="10"/>
      <c r="H526" s="10"/>
      <c r="I526" s="10"/>
      <c r="J526" s="11"/>
      <c r="K526" s="10"/>
      <c r="L526" s="12"/>
    </row>
    <row r="527" spans="1:12" ht="14.25" customHeight="1" x14ac:dyDescent="0.25">
      <c r="A527" s="10"/>
      <c r="C527" s="10"/>
      <c r="F527" s="8"/>
      <c r="G527" s="10"/>
      <c r="H527" s="10"/>
      <c r="I527" s="10"/>
      <c r="J527" s="11"/>
      <c r="K527" s="10"/>
      <c r="L527" s="12"/>
    </row>
    <row r="528" spans="1:12" ht="14.25" customHeight="1" x14ac:dyDescent="0.25">
      <c r="A528" s="10"/>
      <c r="C528" s="10"/>
      <c r="F528" s="8"/>
      <c r="G528" s="10"/>
      <c r="H528" s="10"/>
      <c r="I528" s="10"/>
      <c r="J528" s="11"/>
      <c r="K528" s="10"/>
      <c r="L528" s="12"/>
    </row>
    <row r="529" spans="1:12" ht="14.25" customHeight="1" x14ac:dyDescent="0.25">
      <c r="A529" s="10"/>
      <c r="C529" s="10"/>
      <c r="F529" s="8"/>
      <c r="G529" s="10"/>
      <c r="H529" s="10"/>
      <c r="I529" s="10"/>
      <c r="J529" s="11"/>
      <c r="K529" s="10"/>
      <c r="L529" s="12"/>
    </row>
    <row r="530" spans="1:12" ht="14.25" customHeight="1" x14ac:dyDescent="0.25">
      <c r="A530" s="10"/>
      <c r="C530" s="10"/>
      <c r="F530" s="8"/>
      <c r="G530" s="10"/>
      <c r="H530" s="10"/>
      <c r="I530" s="10"/>
      <c r="J530" s="11"/>
      <c r="K530" s="10"/>
      <c r="L530" s="12"/>
    </row>
    <row r="531" spans="1:12" ht="14.25" customHeight="1" x14ac:dyDescent="0.25">
      <c r="A531" s="10"/>
      <c r="C531" s="10"/>
      <c r="F531" s="8"/>
      <c r="G531" s="10"/>
      <c r="H531" s="10"/>
      <c r="I531" s="10"/>
      <c r="J531" s="11"/>
      <c r="K531" s="10"/>
      <c r="L531" s="12"/>
    </row>
    <row r="532" spans="1:12" ht="14.25" customHeight="1" x14ac:dyDescent="0.25">
      <c r="A532" s="10"/>
      <c r="C532" s="10"/>
      <c r="F532" s="8"/>
      <c r="G532" s="10"/>
      <c r="H532" s="10"/>
      <c r="I532" s="10"/>
      <c r="J532" s="11"/>
      <c r="K532" s="10"/>
      <c r="L532" s="12"/>
    </row>
    <row r="533" spans="1:12" ht="14.25" customHeight="1" x14ac:dyDescent="0.25">
      <c r="A533" s="10"/>
      <c r="C533" s="10"/>
      <c r="F533" s="8"/>
      <c r="G533" s="10"/>
      <c r="H533" s="10"/>
      <c r="I533" s="10"/>
      <c r="J533" s="11"/>
      <c r="K533" s="10"/>
      <c r="L533" s="12"/>
    </row>
    <row r="534" spans="1:12" ht="14.25" customHeight="1" x14ac:dyDescent="0.25">
      <c r="A534" s="10"/>
      <c r="C534" s="10"/>
      <c r="F534" s="8"/>
      <c r="G534" s="10"/>
      <c r="H534" s="10"/>
      <c r="I534" s="10"/>
      <c r="J534" s="11"/>
      <c r="K534" s="10"/>
      <c r="L534" s="12"/>
    </row>
    <row r="535" spans="1:12" ht="14.25" customHeight="1" x14ac:dyDescent="0.25">
      <c r="A535" s="10"/>
      <c r="C535" s="10"/>
      <c r="F535" s="8"/>
      <c r="G535" s="10"/>
      <c r="H535" s="10"/>
      <c r="I535" s="10"/>
      <c r="J535" s="11"/>
      <c r="K535" s="10"/>
      <c r="L535" s="12"/>
    </row>
    <row r="536" spans="1:12" ht="14.25" customHeight="1" x14ac:dyDescent="0.25">
      <c r="A536" s="10"/>
      <c r="C536" s="10"/>
      <c r="F536" s="8"/>
      <c r="G536" s="10"/>
      <c r="H536" s="10"/>
      <c r="I536" s="10"/>
      <c r="J536" s="11"/>
      <c r="K536" s="10"/>
      <c r="L536" s="12"/>
    </row>
    <row r="537" spans="1:12" ht="14.25" customHeight="1" x14ac:dyDescent="0.25">
      <c r="A537" s="10"/>
      <c r="C537" s="10"/>
      <c r="F537" s="8"/>
      <c r="G537" s="10"/>
      <c r="H537" s="10"/>
      <c r="I537" s="10"/>
      <c r="J537" s="11"/>
      <c r="K537" s="10"/>
      <c r="L537" s="12"/>
    </row>
    <row r="538" spans="1:12" ht="14.25" customHeight="1" x14ac:dyDescent="0.25">
      <c r="A538" s="10"/>
      <c r="C538" s="10"/>
      <c r="F538" s="8"/>
      <c r="G538" s="10"/>
      <c r="H538" s="10"/>
      <c r="I538" s="10"/>
      <c r="J538" s="11"/>
      <c r="K538" s="10"/>
      <c r="L538" s="12"/>
    </row>
    <row r="539" spans="1:12" ht="14.25" customHeight="1" x14ac:dyDescent="0.25">
      <c r="A539" s="10"/>
      <c r="C539" s="10"/>
      <c r="F539" s="8"/>
      <c r="G539" s="10"/>
      <c r="H539" s="10"/>
      <c r="I539" s="10"/>
      <c r="J539" s="11"/>
      <c r="K539" s="10"/>
      <c r="L539" s="12"/>
    </row>
    <row r="540" spans="1:12" ht="14.25" customHeight="1" x14ac:dyDescent="0.25">
      <c r="A540" s="10"/>
      <c r="C540" s="10"/>
      <c r="F540" s="8"/>
      <c r="G540" s="10"/>
      <c r="H540" s="10"/>
      <c r="I540" s="10"/>
      <c r="J540" s="11"/>
      <c r="K540" s="10"/>
      <c r="L540" s="12"/>
    </row>
    <row r="541" spans="1:12" ht="14.25" customHeight="1" x14ac:dyDescent="0.25">
      <c r="A541" s="10"/>
      <c r="C541" s="10"/>
      <c r="F541" s="8"/>
      <c r="G541" s="10"/>
      <c r="H541" s="10"/>
      <c r="I541" s="10"/>
      <c r="J541" s="11"/>
      <c r="K541" s="10"/>
      <c r="L541" s="12"/>
    </row>
    <row r="542" spans="1:12" ht="14.25" customHeight="1" x14ac:dyDescent="0.25">
      <c r="A542" s="10"/>
      <c r="C542" s="10"/>
      <c r="F542" s="8"/>
      <c r="G542" s="10"/>
      <c r="H542" s="10"/>
      <c r="I542" s="10"/>
      <c r="J542" s="11"/>
      <c r="K542" s="10"/>
      <c r="L542" s="12"/>
    </row>
    <row r="543" spans="1:12" ht="14.25" customHeight="1" x14ac:dyDescent="0.25">
      <c r="A543" s="10"/>
      <c r="C543" s="10"/>
      <c r="F543" s="8"/>
      <c r="G543" s="10"/>
      <c r="H543" s="10"/>
      <c r="I543" s="10"/>
      <c r="J543" s="11"/>
      <c r="K543" s="10"/>
      <c r="L543" s="12"/>
    </row>
    <row r="544" spans="1:12" ht="14.25" customHeight="1" x14ac:dyDescent="0.25">
      <c r="A544" s="10"/>
      <c r="C544" s="10"/>
      <c r="F544" s="8"/>
      <c r="G544" s="10"/>
      <c r="H544" s="10"/>
      <c r="I544" s="10"/>
      <c r="J544" s="11"/>
      <c r="K544" s="10"/>
      <c r="L544" s="12"/>
    </row>
    <row r="545" spans="1:12" ht="14.25" customHeight="1" x14ac:dyDescent="0.25">
      <c r="A545" s="10"/>
      <c r="C545" s="10"/>
      <c r="F545" s="8"/>
      <c r="G545" s="10"/>
      <c r="H545" s="10"/>
      <c r="I545" s="10"/>
      <c r="J545" s="11"/>
      <c r="K545" s="10"/>
      <c r="L545" s="12"/>
    </row>
    <row r="546" spans="1:12" ht="14.25" customHeight="1" x14ac:dyDescent="0.25">
      <c r="A546" s="10"/>
      <c r="C546" s="10"/>
      <c r="F546" s="8"/>
      <c r="G546" s="10"/>
      <c r="H546" s="10"/>
      <c r="I546" s="10"/>
      <c r="J546" s="11"/>
      <c r="K546" s="10"/>
      <c r="L546" s="12"/>
    </row>
    <row r="547" spans="1:12" ht="14.25" customHeight="1" x14ac:dyDescent="0.25">
      <c r="A547" s="10"/>
      <c r="C547" s="10"/>
      <c r="F547" s="8"/>
      <c r="G547" s="10"/>
      <c r="H547" s="10"/>
      <c r="I547" s="10"/>
      <c r="J547" s="11"/>
      <c r="K547" s="10"/>
      <c r="L547" s="12"/>
    </row>
    <row r="548" spans="1:12" ht="14.25" customHeight="1" x14ac:dyDescent="0.25">
      <c r="A548" s="10"/>
      <c r="C548" s="10"/>
      <c r="F548" s="8"/>
      <c r="G548" s="10"/>
      <c r="H548" s="10"/>
      <c r="I548" s="10"/>
      <c r="J548" s="11"/>
      <c r="K548" s="10"/>
      <c r="L548" s="12"/>
    </row>
    <row r="549" spans="1:12" ht="14.25" customHeight="1" x14ac:dyDescent="0.25">
      <c r="A549" s="10"/>
      <c r="C549" s="10"/>
      <c r="F549" s="8"/>
      <c r="G549" s="10"/>
      <c r="H549" s="10"/>
      <c r="I549" s="10"/>
      <c r="J549" s="11"/>
      <c r="K549" s="10"/>
      <c r="L549" s="12"/>
    </row>
    <row r="550" spans="1:12" ht="14.25" customHeight="1" x14ac:dyDescent="0.25">
      <c r="A550" s="10"/>
      <c r="C550" s="10"/>
      <c r="F550" s="8"/>
      <c r="G550" s="10"/>
      <c r="H550" s="10"/>
      <c r="I550" s="10"/>
      <c r="J550" s="11"/>
      <c r="K550" s="10"/>
      <c r="L550" s="12"/>
    </row>
    <row r="551" spans="1:12" ht="14.25" customHeight="1" x14ac:dyDescent="0.25">
      <c r="A551" s="10"/>
      <c r="C551" s="10"/>
      <c r="F551" s="8"/>
      <c r="G551" s="10"/>
      <c r="H551" s="10"/>
      <c r="I551" s="10"/>
      <c r="J551" s="11"/>
      <c r="K551" s="10"/>
      <c r="L551" s="12"/>
    </row>
    <row r="552" spans="1:12" ht="14.25" customHeight="1" x14ac:dyDescent="0.25">
      <c r="A552" s="10"/>
      <c r="C552" s="10"/>
      <c r="F552" s="8"/>
      <c r="G552" s="10"/>
      <c r="H552" s="10"/>
      <c r="I552" s="10"/>
      <c r="J552" s="11"/>
      <c r="K552" s="10"/>
      <c r="L552" s="12"/>
    </row>
    <row r="553" spans="1:12" ht="14.25" customHeight="1" x14ac:dyDescent="0.25">
      <c r="A553" s="10"/>
      <c r="C553" s="10"/>
      <c r="F553" s="8"/>
      <c r="G553" s="10"/>
      <c r="H553" s="10"/>
      <c r="I553" s="10"/>
      <c r="J553" s="11"/>
      <c r="K553" s="10"/>
      <c r="L553" s="12"/>
    </row>
    <row r="554" spans="1:12" ht="14.25" customHeight="1" x14ac:dyDescent="0.25">
      <c r="A554" s="10"/>
      <c r="C554" s="10"/>
      <c r="F554" s="8"/>
      <c r="G554" s="10"/>
      <c r="H554" s="10"/>
      <c r="I554" s="10"/>
      <c r="J554" s="11"/>
      <c r="K554" s="10"/>
      <c r="L554" s="12"/>
    </row>
    <row r="555" spans="1:12" ht="14.25" customHeight="1" x14ac:dyDescent="0.25">
      <c r="A555" s="10"/>
      <c r="C555" s="10"/>
      <c r="F555" s="8"/>
      <c r="G555" s="10"/>
      <c r="H555" s="10"/>
      <c r="I555" s="10"/>
      <c r="J555" s="11"/>
      <c r="K555" s="10"/>
      <c r="L555" s="12"/>
    </row>
    <row r="556" spans="1:12" ht="14.25" customHeight="1" x14ac:dyDescent="0.25">
      <c r="A556" s="10"/>
      <c r="C556" s="10"/>
      <c r="F556" s="8"/>
      <c r="G556" s="10"/>
      <c r="H556" s="10"/>
      <c r="I556" s="10"/>
      <c r="J556" s="11"/>
      <c r="K556" s="10"/>
      <c r="L556" s="12"/>
    </row>
    <row r="557" spans="1:12" ht="14.25" customHeight="1" x14ac:dyDescent="0.25">
      <c r="A557" s="10"/>
      <c r="C557" s="10"/>
      <c r="F557" s="8"/>
      <c r="G557" s="10"/>
      <c r="H557" s="10"/>
      <c r="I557" s="10"/>
      <c r="J557" s="11"/>
      <c r="K557" s="10"/>
      <c r="L557" s="12"/>
    </row>
    <row r="558" spans="1:12" ht="14.25" customHeight="1" x14ac:dyDescent="0.25">
      <c r="A558" s="10"/>
      <c r="C558" s="10"/>
      <c r="F558" s="8"/>
      <c r="G558" s="10"/>
      <c r="H558" s="10"/>
      <c r="I558" s="10"/>
      <c r="J558" s="11"/>
      <c r="K558" s="10"/>
      <c r="L558" s="12"/>
    </row>
    <row r="559" spans="1:12" ht="14.25" customHeight="1" x14ac:dyDescent="0.25">
      <c r="A559" s="10"/>
      <c r="C559" s="10"/>
      <c r="F559" s="8"/>
      <c r="G559" s="10"/>
      <c r="H559" s="10"/>
      <c r="I559" s="10"/>
      <c r="J559" s="11"/>
      <c r="K559" s="10"/>
      <c r="L559" s="12"/>
    </row>
    <row r="560" spans="1:12" ht="14.25" customHeight="1" x14ac:dyDescent="0.25">
      <c r="A560" s="10"/>
      <c r="C560" s="10"/>
      <c r="F560" s="8"/>
      <c r="G560" s="10"/>
      <c r="H560" s="10"/>
      <c r="I560" s="10"/>
      <c r="J560" s="11"/>
      <c r="K560" s="10"/>
      <c r="L560" s="12"/>
    </row>
    <row r="561" spans="1:12" ht="14.25" customHeight="1" x14ac:dyDescent="0.25">
      <c r="A561" s="10"/>
      <c r="C561" s="10"/>
      <c r="F561" s="8"/>
      <c r="G561" s="10"/>
      <c r="H561" s="10"/>
      <c r="I561" s="10"/>
      <c r="J561" s="11"/>
      <c r="K561" s="10"/>
      <c r="L561" s="12"/>
    </row>
    <row r="562" spans="1:12" ht="14.25" customHeight="1" x14ac:dyDescent="0.25">
      <c r="A562" s="10"/>
      <c r="C562" s="10"/>
      <c r="F562" s="8"/>
      <c r="G562" s="10"/>
      <c r="H562" s="10"/>
      <c r="I562" s="10"/>
      <c r="J562" s="11"/>
      <c r="K562" s="10"/>
      <c r="L562" s="12"/>
    </row>
    <row r="563" spans="1:12" ht="14.25" customHeight="1" x14ac:dyDescent="0.25">
      <c r="A563" s="10"/>
      <c r="C563" s="10"/>
      <c r="F563" s="8"/>
      <c r="G563" s="10"/>
      <c r="H563" s="10"/>
      <c r="I563" s="10"/>
      <c r="J563" s="11"/>
      <c r="K563" s="10"/>
      <c r="L563" s="12"/>
    </row>
    <row r="564" spans="1:12" ht="14.25" customHeight="1" x14ac:dyDescent="0.25">
      <c r="A564" s="10"/>
      <c r="C564" s="10"/>
      <c r="F564" s="8"/>
      <c r="G564" s="10"/>
      <c r="H564" s="10"/>
      <c r="I564" s="10"/>
      <c r="J564" s="11"/>
      <c r="K564" s="10"/>
      <c r="L564" s="12"/>
    </row>
    <row r="565" spans="1:12" ht="14.25" customHeight="1" x14ac:dyDescent="0.25">
      <c r="A565" s="10"/>
      <c r="C565" s="10"/>
      <c r="F565" s="8"/>
      <c r="G565" s="10"/>
      <c r="H565" s="10"/>
      <c r="I565" s="10"/>
      <c r="J565" s="11"/>
      <c r="K565" s="10"/>
      <c r="L565" s="12"/>
    </row>
    <row r="566" spans="1:12" ht="14.25" customHeight="1" x14ac:dyDescent="0.25">
      <c r="A566" s="10"/>
      <c r="C566" s="10"/>
      <c r="F566" s="8"/>
      <c r="G566" s="10"/>
      <c r="H566" s="10"/>
      <c r="I566" s="10"/>
      <c r="J566" s="11"/>
      <c r="K566" s="10"/>
      <c r="L566" s="12"/>
    </row>
    <row r="567" spans="1:12" ht="14.25" customHeight="1" x14ac:dyDescent="0.25">
      <c r="A567" s="10"/>
      <c r="C567" s="10"/>
      <c r="F567" s="8"/>
      <c r="G567" s="10"/>
      <c r="H567" s="10"/>
      <c r="I567" s="10"/>
      <c r="J567" s="11"/>
      <c r="K567" s="10"/>
      <c r="L567" s="12"/>
    </row>
    <row r="568" spans="1:12" ht="14.25" customHeight="1" x14ac:dyDescent="0.25">
      <c r="A568" s="10"/>
      <c r="C568" s="10"/>
      <c r="F568" s="8"/>
      <c r="G568" s="10"/>
      <c r="H568" s="10"/>
      <c r="I568" s="10"/>
      <c r="J568" s="11"/>
      <c r="K568" s="10"/>
      <c r="L568" s="12"/>
    </row>
    <row r="569" spans="1:12" ht="14.25" customHeight="1" x14ac:dyDescent="0.25">
      <c r="A569" s="10"/>
      <c r="C569" s="10"/>
      <c r="F569" s="8"/>
      <c r="G569" s="10"/>
      <c r="H569" s="10"/>
      <c r="I569" s="10"/>
      <c r="J569" s="11"/>
      <c r="K569" s="10"/>
      <c r="L569" s="12"/>
    </row>
    <row r="570" spans="1:12" ht="14.25" customHeight="1" x14ac:dyDescent="0.25">
      <c r="A570" s="10"/>
      <c r="C570" s="10"/>
      <c r="F570" s="8"/>
      <c r="G570" s="10"/>
      <c r="H570" s="10"/>
      <c r="I570" s="10"/>
      <c r="J570" s="11"/>
      <c r="K570" s="10"/>
      <c r="L570" s="12"/>
    </row>
    <row r="571" spans="1:12" ht="14.25" customHeight="1" x14ac:dyDescent="0.25">
      <c r="A571" s="10"/>
      <c r="C571" s="10"/>
      <c r="F571" s="8"/>
      <c r="G571" s="10"/>
      <c r="H571" s="10"/>
      <c r="I571" s="10"/>
      <c r="J571" s="11"/>
      <c r="K571" s="10"/>
      <c r="L571" s="12"/>
    </row>
    <row r="572" spans="1:12" ht="14.25" customHeight="1" x14ac:dyDescent="0.25">
      <c r="A572" s="10"/>
      <c r="C572" s="10"/>
      <c r="F572" s="8"/>
      <c r="G572" s="10"/>
      <c r="H572" s="10"/>
      <c r="I572" s="10"/>
      <c r="J572" s="11"/>
      <c r="K572" s="10"/>
      <c r="L572" s="12"/>
    </row>
    <row r="573" spans="1:12" ht="14.25" customHeight="1" x14ac:dyDescent="0.25">
      <c r="A573" s="10"/>
      <c r="C573" s="10"/>
      <c r="F573" s="8"/>
      <c r="G573" s="10"/>
      <c r="H573" s="10"/>
      <c r="I573" s="10"/>
      <c r="J573" s="11"/>
      <c r="K573" s="10"/>
      <c r="L573" s="12"/>
    </row>
    <row r="574" spans="1:12" ht="14.25" customHeight="1" x14ac:dyDescent="0.25">
      <c r="A574" s="10"/>
      <c r="C574" s="10"/>
      <c r="F574" s="8"/>
      <c r="G574" s="10"/>
      <c r="H574" s="10"/>
      <c r="I574" s="10"/>
      <c r="J574" s="11"/>
      <c r="K574" s="10"/>
      <c r="L574" s="12"/>
    </row>
    <row r="575" spans="1:12" ht="14.25" customHeight="1" x14ac:dyDescent="0.25">
      <c r="A575" s="10"/>
      <c r="C575" s="10"/>
      <c r="F575" s="8"/>
      <c r="G575" s="10"/>
      <c r="H575" s="10"/>
      <c r="I575" s="10"/>
      <c r="J575" s="11"/>
      <c r="K575" s="10"/>
      <c r="L575" s="12"/>
    </row>
    <row r="576" spans="1:12" ht="14.25" customHeight="1" x14ac:dyDescent="0.25">
      <c r="A576" s="10"/>
      <c r="C576" s="10"/>
      <c r="F576" s="8"/>
      <c r="G576" s="10"/>
      <c r="H576" s="10"/>
      <c r="I576" s="10"/>
      <c r="J576" s="11"/>
      <c r="K576" s="10"/>
      <c r="L576" s="12"/>
    </row>
    <row r="577" spans="1:12" ht="14.25" customHeight="1" x14ac:dyDescent="0.25">
      <c r="A577" s="10"/>
      <c r="C577" s="10"/>
      <c r="F577" s="8"/>
      <c r="G577" s="10"/>
      <c r="H577" s="10"/>
      <c r="I577" s="10"/>
      <c r="J577" s="11"/>
      <c r="K577" s="10"/>
      <c r="L577" s="12"/>
    </row>
    <row r="578" spans="1:12" ht="14.25" customHeight="1" x14ac:dyDescent="0.25">
      <c r="A578" s="10"/>
      <c r="C578" s="10"/>
      <c r="F578" s="8"/>
      <c r="G578" s="10"/>
      <c r="H578" s="10"/>
      <c r="I578" s="10"/>
      <c r="J578" s="11"/>
      <c r="K578" s="10"/>
      <c r="L578" s="12"/>
    </row>
    <row r="579" spans="1:12" ht="14.25" customHeight="1" x14ac:dyDescent="0.25">
      <c r="A579" s="10"/>
      <c r="C579" s="10"/>
      <c r="F579" s="8"/>
      <c r="G579" s="10"/>
      <c r="H579" s="10"/>
      <c r="I579" s="10"/>
      <c r="J579" s="11"/>
      <c r="K579" s="10"/>
      <c r="L579" s="12"/>
    </row>
    <row r="580" spans="1:12" ht="14.25" customHeight="1" x14ac:dyDescent="0.25">
      <c r="A580" s="10"/>
      <c r="C580" s="10"/>
      <c r="F580" s="8"/>
      <c r="G580" s="10"/>
      <c r="H580" s="10"/>
      <c r="I580" s="10"/>
      <c r="J580" s="11"/>
      <c r="K580" s="10"/>
      <c r="L580" s="12"/>
    </row>
    <row r="581" spans="1:12" ht="14.25" customHeight="1" x14ac:dyDescent="0.25">
      <c r="A581" s="10"/>
      <c r="C581" s="10"/>
      <c r="F581" s="8"/>
      <c r="G581" s="10"/>
      <c r="H581" s="10"/>
      <c r="I581" s="10"/>
      <c r="J581" s="11"/>
      <c r="K581" s="10"/>
      <c r="L581" s="12"/>
    </row>
    <row r="582" spans="1:12" ht="14.25" customHeight="1" x14ac:dyDescent="0.25">
      <c r="A582" s="10"/>
      <c r="C582" s="10"/>
      <c r="F582" s="8"/>
      <c r="G582" s="10"/>
      <c r="H582" s="10"/>
      <c r="I582" s="10"/>
      <c r="J582" s="11"/>
      <c r="K582" s="10"/>
      <c r="L582" s="12"/>
    </row>
    <row r="583" spans="1:12" ht="14.25" customHeight="1" x14ac:dyDescent="0.25">
      <c r="A583" s="10"/>
      <c r="C583" s="10"/>
      <c r="F583" s="8"/>
      <c r="G583" s="10"/>
      <c r="H583" s="10"/>
      <c r="I583" s="10"/>
      <c r="J583" s="11"/>
      <c r="K583" s="10"/>
      <c r="L583" s="12"/>
    </row>
    <row r="584" spans="1:12" ht="14.25" customHeight="1" x14ac:dyDescent="0.25">
      <c r="A584" s="10"/>
      <c r="C584" s="10"/>
      <c r="F584" s="8"/>
      <c r="G584" s="10"/>
      <c r="H584" s="10"/>
      <c r="I584" s="10"/>
      <c r="J584" s="11"/>
      <c r="K584" s="10"/>
      <c r="L584" s="12"/>
    </row>
    <row r="585" spans="1:12" ht="14.25" customHeight="1" x14ac:dyDescent="0.25">
      <c r="A585" s="10"/>
      <c r="C585" s="10"/>
      <c r="F585" s="8"/>
      <c r="G585" s="10"/>
      <c r="H585" s="10"/>
      <c r="I585" s="10"/>
      <c r="J585" s="11"/>
      <c r="K585" s="10"/>
      <c r="L585" s="12"/>
    </row>
    <row r="586" spans="1:12" ht="14.25" customHeight="1" x14ac:dyDescent="0.25">
      <c r="A586" s="10"/>
      <c r="C586" s="10"/>
      <c r="F586" s="8"/>
      <c r="G586" s="10"/>
      <c r="H586" s="10"/>
      <c r="I586" s="10"/>
      <c r="J586" s="11"/>
      <c r="K586" s="10"/>
      <c r="L586" s="12"/>
    </row>
    <row r="587" spans="1:12" ht="14.25" customHeight="1" x14ac:dyDescent="0.25">
      <c r="A587" s="10"/>
      <c r="C587" s="10"/>
      <c r="F587" s="8"/>
      <c r="G587" s="10"/>
      <c r="H587" s="10"/>
      <c r="I587" s="10"/>
      <c r="J587" s="11"/>
      <c r="K587" s="10"/>
      <c r="L587" s="12"/>
    </row>
    <row r="588" spans="1:12" ht="14.25" customHeight="1" x14ac:dyDescent="0.25">
      <c r="A588" s="10"/>
      <c r="C588" s="10"/>
      <c r="F588" s="8"/>
      <c r="G588" s="10"/>
      <c r="H588" s="10"/>
      <c r="I588" s="10"/>
      <c r="J588" s="11"/>
      <c r="K588" s="10"/>
      <c r="L588" s="12"/>
    </row>
    <row r="589" spans="1:12" ht="14.25" customHeight="1" x14ac:dyDescent="0.25">
      <c r="A589" s="10"/>
      <c r="C589" s="10"/>
      <c r="F589" s="8"/>
      <c r="G589" s="10"/>
      <c r="H589" s="10"/>
      <c r="I589" s="10"/>
      <c r="J589" s="11"/>
      <c r="K589" s="10"/>
      <c r="L589" s="12"/>
    </row>
    <row r="590" spans="1:12" ht="14.25" customHeight="1" x14ac:dyDescent="0.25">
      <c r="A590" s="10"/>
      <c r="C590" s="10"/>
      <c r="F590" s="8"/>
      <c r="G590" s="10"/>
      <c r="H590" s="10"/>
      <c r="I590" s="10"/>
      <c r="J590" s="11"/>
      <c r="K590" s="10"/>
      <c r="L590" s="12"/>
    </row>
    <row r="591" spans="1:12" ht="14.25" customHeight="1" x14ac:dyDescent="0.25">
      <c r="A591" s="10"/>
      <c r="C591" s="10"/>
      <c r="F591" s="8"/>
      <c r="G591" s="10"/>
      <c r="H591" s="10"/>
      <c r="I591" s="10"/>
      <c r="J591" s="11"/>
      <c r="K591" s="10"/>
      <c r="L591" s="12"/>
    </row>
    <row r="592" spans="1:12" ht="14.25" customHeight="1" x14ac:dyDescent="0.25">
      <c r="A592" s="10"/>
      <c r="C592" s="10"/>
      <c r="F592" s="8"/>
      <c r="G592" s="10"/>
      <c r="H592" s="10"/>
      <c r="I592" s="10"/>
      <c r="J592" s="11"/>
      <c r="K592" s="10"/>
      <c r="L592" s="12"/>
    </row>
    <row r="593" spans="1:12" ht="14.25" customHeight="1" x14ac:dyDescent="0.25">
      <c r="A593" s="10"/>
      <c r="C593" s="10"/>
      <c r="F593" s="8"/>
      <c r="G593" s="10"/>
      <c r="H593" s="10"/>
      <c r="I593" s="10"/>
      <c r="J593" s="11"/>
      <c r="K593" s="10"/>
      <c r="L593" s="12"/>
    </row>
    <row r="594" spans="1:12" ht="14.25" customHeight="1" x14ac:dyDescent="0.25">
      <c r="A594" s="10"/>
      <c r="C594" s="10"/>
      <c r="F594" s="8"/>
      <c r="G594" s="10"/>
      <c r="H594" s="10"/>
      <c r="I594" s="10"/>
      <c r="J594" s="11"/>
      <c r="K594" s="10"/>
      <c r="L594" s="12"/>
    </row>
    <row r="595" spans="1:12" ht="14.25" customHeight="1" x14ac:dyDescent="0.25">
      <c r="A595" s="10"/>
      <c r="C595" s="10"/>
      <c r="F595" s="8"/>
      <c r="G595" s="10"/>
      <c r="H595" s="10"/>
      <c r="I595" s="10"/>
      <c r="J595" s="11"/>
      <c r="K595" s="10"/>
      <c r="L595" s="12"/>
    </row>
    <row r="596" spans="1:12" ht="14.25" customHeight="1" x14ac:dyDescent="0.25">
      <c r="A596" s="10"/>
      <c r="C596" s="10"/>
      <c r="F596" s="8"/>
      <c r="G596" s="10"/>
      <c r="H596" s="10"/>
      <c r="I596" s="10"/>
      <c r="J596" s="11"/>
      <c r="K596" s="10"/>
      <c r="L596" s="12"/>
    </row>
    <row r="597" spans="1:12" ht="14.25" customHeight="1" x14ac:dyDescent="0.25">
      <c r="A597" s="10"/>
      <c r="C597" s="10"/>
      <c r="F597" s="8"/>
      <c r="G597" s="10"/>
      <c r="H597" s="10"/>
      <c r="I597" s="10"/>
      <c r="J597" s="11"/>
      <c r="K597" s="10"/>
      <c r="L597" s="12"/>
    </row>
    <row r="598" spans="1:12" ht="14.25" customHeight="1" x14ac:dyDescent="0.25">
      <c r="A598" s="10"/>
      <c r="C598" s="10"/>
      <c r="F598" s="8"/>
      <c r="G598" s="10"/>
      <c r="H598" s="10"/>
      <c r="I598" s="10"/>
      <c r="J598" s="11"/>
      <c r="K598" s="10"/>
      <c r="L598" s="12"/>
    </row>
    <row r="599" spans="1:12" ht="14.25" customHeight="1" x14ac:dyDescent="0.25">
      <c r="A599" s="10"/>
      <c r="C599" s="10"/>
      <c r="F599" s="8"/>
      <c r="G599" s="10"/>
      <c r="H599" s="10"/>
      <c r="I599" s="10"/>
      <c r="J599" s="11"/>
      <c r="K599" s="10"/>
      <c r="L599" s="12"/>
    </row>
    <row r="600" spans="1:12" ht="14.25" customHeight="1" x14ac:dyDescent="0.25">
      <c r="A600" s="10"/>
      <c r="C600" s="10"/>
      <c r="F600" s="8"/>
      <c r="G600" s="10"/>
      <c r="H600" s="10"/>
      <c r="I600" s="10"/>
      <c r="J600" s="11"/>
      <c r="K600" s="10"/>
      <c r="L600" s="12"/>
    </row>
    <row r="601" spans="1:12" ht="14.25" customHeight="1" x14ac:dyDescent="0.25">
      <c r="A601" s="10"/>
      <c r="C601" s="10"/>
      <c r="F601" s="8"/>
      <c r="G601" s="10"/>
      <c r="H601" s="10"/>
      <c r="I601" s="10"/>
      <c r="J601" s="11"/>
      <c r="K601" s="10"/>
      <c r="L601" s="12"/>
    </row>
    <row r="602" spans="1:12" ht="14.25" customHeight="1" x14ac:dyDescent="0.25">
      <c r="A602" s="10"/>
      <c r="C602" s="10"/>
      <c r="F602" s="8"/>
      <c r="G602" s="10"/>
      <c r="H602" s="10"/>
      <c r="I602" s="10"/>
      <c r="J602" s="11"/>
      <c r="K602" s="10"/>
      <c r="L602" s="12"/>
    </row>
    <row r="603" spans="1:12" ht="14.25" customHeight="1" x14ac:dyDescent="0.25">
      <c r="A603" s="10"/>
      <c r="C603" s="10"/>
      <c r="F603" s="8"/>
      <c r="G603" s="10"/>
      <c r="H603" s="10"/>
      <c r="I603" s="10"/>
      <c r="J603" s="11"/>
      <c r="K603" s="10"/>
      <c r="L603" s="12"/>
    </row>
    <row r="604" spans="1:12" ht="14.25" customHeight="1" x14ac:dyDescent="0.25">
      <c r="A604" s="10"/>
      <c r="C604" s="10"/>
      <c r="F604" s="8"/>
      <c r="G604" s="10"/>
      <c r="H604" s="10"/>
      <c r="I604" s="10"/>
      <c r="J604" s="11"/>
      <c r="K604" s="10"/>
      <c r="L604" s="12"/>
    </row>
    <row r="605" spans="1:12" ht="14.25" customHeight="1" x14ac:dyDescent="0.25">
      <c r="A605" s="10"/>
      <c r="C605" s="10"/>
      <c r="F605" s="8"/>
      <c r="G605" s="10"/>
      <c r="H605" s="10"/>
      <c r="I605" s="10"/>
      <c r="J605" s="11"/>
      <c r="K605" s="10"/>
      <c r="L605" s="12"/>
    </row>
    <row r="606" spans="1:12" ht="14.25" customHeight="1" x14ac:dyDescent="0.25">
      <c r="A606" s="10"/>
      <c r="C606" s="10"/>
      <c r="F606" s="8"/>
      <c r="G606" s="10"/>
      <c r="H606" s="10"/>
      <c r="I606" s="10"/>
      <c r="J606" s="11"/>
      <c r="K606" s="10"/>
      <c r="L606" s="12"/>
    </row>
    <row r="607" spans="1:12" ht="14.25" customHeight="1" x14ac:dyDescent="0.25">
      <c r="A607" s="10"/>
      <c r="C607" s="10"/>
      <c r="F607" s="8"/>
      <c r="G607" s="10"/>
      <c r="H607" s="10"/>
      <c r="I607" s="10"/>
      <c r="J607" s="11"/>
      <c r="K607" s="10"/>
      <c r="L607" s="12"/>
    </row>
    <row r="608" spans="1:12" ht="14.25" customHeight="1" x14ac:dyDescent="0.25">
      <c r="A608" s="10"/>
      <c r="C608" s="10"/>
      <c r="F608" s="8"/>
      <c r="G608" s="10"/>
      <c r="H608" s="10"/>
      <c r="I608" s="10"/>
      <c r="J608" s="11"/>
      <c r="K608" s="10"/>
      <c r="L608" s="12"/>
    </row>
    <row r="609" spans="1:12" ht="14.25" customHeight="1" x14ac:dyDescent="0.25">
      <c r="A609" s="10"/>
      <c r="C609" s="10"/>
      <c r="F609" s="8"/>
      <c r="G609" s="10"/>
      <c r="H609" s="10"/>
      <c r="I609" s="10"/>
      <c r="J609" s="11"/>
      <c r="K609" s="10"/>
      <c r="L609" s="12"/>
    </row>
    <row r="610" spans="1:12" ht="14.25" customHeight="1" x14ac:dyDescent="0.25">
      <c r="A610" s="10"/>
      <c r="C610" s="10"/>
      <c r="F610" s="8"/>
      <c r="G610" s="10"/>
      <c r="H610" s="10"/>
      <c r="I610" s="10"/>
      <c r="J610" s="11"/>
      <c r="K610" s="10"/>
      <c r="L610" s="12"/>
    </row>
    <row r="611" spans="1:12" ht="14.25" customHeight="1" x14ac:dyDescent="0.25">
      <c r="A611" s="10"/>
      <c r="C611" s="10"/>
      <c r="F611" s="8"/>
      <c r="G611" s="10"/>
      <c r="H611" s="10"/>
      <c r="I611" s="10"/>
      <c r="J611" s="11"/>
      <c r="K611" s="10"/>
      <c r="L611" s="12"/>
    </row>
    <row r="612" spans="1:12" ht="14.25" customHeight="1" x14ac:dyDescent="0.25">
      <c r="A612" s="10"/>
      <c r="C612" s="10"/>
      <c r="F612" s="8"/>
      <c r="G612" s="10"/>
      <c r="H612" s="10"/>
      <c r="I612" s="10"/>
      <c r="J612" s="11"/>
      <c r="K612" s="10"/>
      <c r="L612" s="12"/>
    </row>
    <row r="613" spans="1:12" ht="14.25" customHeight="1" x14ac:dyDescent="0.25">
      <c r="A613" s="10"/>
      <c r="C613" s="10"/>
      <c r="F613" s="8"/>
      <c r="G613" s="10"/>
      <c r="H613" s="10"/>
      <c r="I613" s="10"/>
      <c r="J613" s="11"/>
      <c r="K613" s="10"/>
      <c r="L613" s="12"/>
    </row>
    <row r="614" spans="1:12" ht="14.25" customHeight="1" x14ac:dyDescent="0.25">
      <c r="A614" s="10"/>
      <c r="C614" s="10"/>
      <c r="F614" s="8"/>
      <c r="G614" s="10"/>
      <c r="H614" s="10"/>
      <c r="I614" s="10"/>
      <c r="J614" s="11"/>
      <c r="K614" s="10"/>
      <c r="L614" s="12"/>
    </row>
    <row r="615" spans="1:12" ht="14.25" customHeight="1" x14ac:dyDescent="0.25">
      <c r="A615" s="10"/>
      <c r="C615" s="10"/>
      <c r="F615" s="8"/>
      <c r="G615" s="10"/>
      <c r="H615" s="10"/>
      <c r="I615" s="10"/>
      <c r="J615" s="11"/>
      <c r="K615" s="10"/>
      <c r="L615" s="12"/>
    </row>
    <row r="616" spans="1:12" ht="14.25" customHeight="1" x14ac:dyDescent="0.25">
      <c r="A616" s="10"/>
      <c r="C616" s="10"/>
      <c r="F616" s="8"/>
      <c r="G616" s="10"/>
      <c r="H616" s="10"/>
      <c r="I616" s="10"/>
      <c r="J616" s="11"/>
      <c r="K616" s="10"/>
      <c r="L616" s="12"/>
    </row>
    <row r="617" spans="1:12" ht="14.25" customHeight="1" x14ac:dyDescent="0.25">
      <c r="A617" s="10"/>
      <c r="C617" s="10"/>
      <c r="F617" s="8"/>
      <c r="G617" s="10"/>
      <c r="H617" s="10"/>
      <c r="I617" s="10"/>
      <c r="J617" s="11"/>
      <c r="K617" s="10"/>
      <c r="L617" s="12"/>
    </row>
    <row r="618" spans="1:12" ht="14.25" customHeight="1" x14ac:dyDescent="0.25">
      <c r="A618" s="10"/>
      <c r="C618" s="10"/>
      <c r="F618" s="8"/>
      <c r="G618" s="10"/>
      <c r="H618" s="10"/>
      <c r="I618" s="10"/>
      <c r="J618" s="11"/>
      <c r="K618" s="10"/>
      <c r="L618" s="12"/>
    </row>
    <row r="619" spans="1:12" ht="14.25" customHeight="1" x14ac:dyDescent="0.25">
      <c r="A619" s="10"/>
      <c r="C619" s="10"/>
      <c r="F619" s="8"/>
      <c r="G619" s="10"/>
      <c r="H619" s="10"/>
      <c r="I619" s="10"/>
      <c r="J619" s="11"/>
      <c r="K619" s="10"/>
      <c r="L619" s="12"/>
    </row>
    <row r="620" spans="1:12" ht="14.25" customHeight="1" x14ac:dyDescent="0.25">
      <c r="A620" s="10"/>
      <c r="C620" s="10"/>
      <c r="F620" s="8"/>
      <c r="G620" s="10"/>
      <c r="H620" s="10"/>
      <c r="I620" s="10"/>
      <c r="J620" s="11"/>
      <c r="K620" s="10"/>
      <c r="L620" s="12"/>
    </row>
    <row r="621" spans="1:12" ht="14.25" customHeight="1" x14ac:dyDescent="0.25">
      <c r="A621" s="10"/>
      <c r="C621" s="10"/>
      <c r="F621" s="8"/>
      <c r="G621" s="10"/>
      <c r="H621" s="10"/>
      <c r="I621" s="10"/>
      <c r="J621" s="11"/>
      <c r="K621" s="10"/>
      <c r="L621" s="12"/>
    </row>
    <row r="622" spans="1:12" ht="14.25" customHeight="1" x14ac:dyDescent="0.25">
      <c r="A622" s="10"/>
      <c r="C622" s="10"/>
      <c r="F622" s="8"/>
      <c r="G622" s="10"/>
      <c r="H622" s="10"/>
      <c r="I622" s="10"/>
      <c r="J622" s="11"/>
      <c r="K622" s="10"/>
      <c r="L622" s="12"/>
    </row>
    <row r="623" spans="1:12" ht="14.25" customHeight="1" x14ac:dyDescent="0.25">
      <c r="A623" s="10"/>
      <c r="C623" s="10"/>
      <c r="F623" s="8"/>
      <c r="G623" s="10"/>
      <c r="H623" s="10"/>
      <c r="I623" s="10"/>
      <c r="J623" s="11"/>
      <c r="K623" s="10"/>
      <c r="L623" s="12"/>
    </row>
    <row r="624" spans="1:12" ht="14.25" customHeight="1" x14ac:dyDescent="0.25">
      <c r="A624" s="10"/>
      <c r="C624" s="10"/>
      <c r="F624" s="8"/>
      <c r="G624" s="10"/>
      <c r="H624" s="10"/>
      <c r="I624" s="10"/>
      <c r="J624" s="11"/>
      <c r="K624" s="10"/>
      <c r="L624" s="12"/>
    </row>
    <row r="625" spans="1:12" ht="14.25" customHeight="1" x14ac:dyDescent="0.25">
      <c r="A625" s="10"/>
      <c r="C625" s="10"/>
      <c r="F625" s="8"/>
      <c r="G625" s="10"/>
      <c r="H625" s="10"/>
      <c r="I625" s="10"/>
      <c r="J625" s="11"/>
      <c r="K625" s="10"/>
      <c r="L625" s="12"/>
    </row>
    <row r="626" spans="1:12" ht="14.25" customHeight="1" x14ac:dyDescent="0.25">
      <c r="A626" s="10"/>
      <c r="C626" s="10"/>
      <c r="F626" s="8"/>
      <c r="G626" s="10"/>
      <c r="H626" s="10"/>
      <c r="I626" s="10"/>
      <c r="J626" s="11"/>
      <c r="K626" s="10"/>
      <c r="L626" s="12"/>
    </row>
    <row r="627" spans="1:12" ht="14.25" customHeight="1" x14ac:dyDescent="0.25">
      <c r="A627" s="10"/>
      <c r="C627" s="10"/>
      <c r="F627" s="8"/>
      <c r="G627" s="10"/>
      <c r="H627" s="10"/>
      <c r="I627" s="10"/>
      <c r="J627" s="11"/>
      <c r="K627" s="10"/>
      <c r="L627" s="12"/>
    </row>
    <row r="628" spans="1:12" ht="14.25" customHeight="1" x14ac:dyDescent="0.25">
      <c r="A628" s="10"/>
      <c r="C628" s="10"/>
      <c r="F628" s="8"/>
      <c r="G628" s="10"/>
      <c r="H628" s="10"/>
      <c r="I628" s="10"/>
      <c r="J628" s="11"/>
      <c r="K628" s="10"/>
      <c r="L628" s="12"/>
    </row>
    <row r="629" spans="1:12" ht="14.25" customHeight="1" x14ac:dyDescent="0.25">
      <c r="A629" s="10"/>
      <c r="C629" s="10"/>
      <c r="F629" s="8"/>
      <c r="G629" s="10"/>
      <c r="H629" s="10"/>
      <c r="I629" s="10"/>
      <c r="J629" s="11"/>
      <c r="K629" s="10"/>
      <c r="L629" s="12"/>
    </row>
    <row r="630" spans="1:12" ht="14.25" customHeight="1" x14ac:dyDescent="0.25">
      <c r="A630" s="10"/>
      <c r="C630" s="10"/>
      <c r="F630" s="8"/>
      <c r="G630" s="10"/>
      <c r="H630" s="10"/>
      <c r="I630" s="10"/>
      <c r="J630" s="11"/>
      <c r="K630" s="10"/>
      <c r="L630" s="12"/>
    </row>
    <row r="631" spans="1:12" ht="14.25" customHeight="1" x14ac:dyDescent="0.25">
      <c r="A631" s="10"/>
      <c r="C631" s="10"/>
      <c r="F631" s="8"/>
      <c r="G631" s="10"/>
      <c r="H631" s="10"/>
      <c r="I631" s="10"/>
      <c r="J631" s="11"/>
      <c r="K631" s="10"/>
      <c r="L631" s="12"/>
    </row>
    <row r="632" spans="1:12" ht="14.25" customHeight="1" x14ac:dyDescent="0.25">
      <c r="A632" s="10"/>
      <c r="C632" s="10"/>
      <c r="F632" s="8"/>
      <c r="G632" s="10"/>
      <c r="H632" s="10"/>
      <c r="I632" s="10"/>
      <c r="J632" s="11"/>
      <c r="K632" s="10"/>
      <c r="L632" s="12"/>
    </row>
    <row r="633" spans="1:12" ht="14.25" customHeight="1" x14ac:dyDescent="0.25">
      <c r="A633" s="10"/>
      <c r="C633" s="10"/>
      <c r="F633" s="8"/>
      <c r="G633" s="10"/>
      <c r="H633" s="10"/>
      <c r="I633" s="10"/>
      <c r="J633" s="11"/>
      <c r="K633" s="10"/>
      <c r="L633" s="12"/>
    </row>
    <row r="634" spans="1:12" ht="14.25" customHeight="1" x14ac:dyDescent="0.25">
      <c r="A634" s="10"/>
      <c r="C634" s="10"/>
      <c r="F634" s="8"/>
      <c r="G634" s="10"/>
      <c r="H634" s="10"/>
      <c r="I634" s="10"/>
      <c r="J634" s="11"/>
      <c r="K634" s="10"/>
      <c r="L634" s="12"/>
    </row>
    <row r="635" spans="1:12" ht="14.25" customHeight="1" x14ac:dyDescent="0.25">
      <c r="A635" s="10"/>
      <c r="C635" s="10"/>
      <c r="F635" s="8"/>
      <c r="G635" s="10"/>
      <c r="H635" s="10"/>
      <c r="I635" s="10"/>
      <c r="J635" s="11"/>
      <c r="K635" s="10"/>
      <c r="L635" s="12"/>
    </row>
    <row r="636" spans="1:12" ht="14.25" customHeight="1" x14ac:dyDescent="0.25">
      <c r="A636" s="10"/>
      <c r="C636" s="10"/>
      <c r="F636" s="8"/>
      <c r="G636" s="10"/>
      <c r="H636" s="10"/>
      <c r="I636" s="10"/>
      <c r="J636" s="11"/>
      <c r="K636" s="10"/>
      <c r="L636" s="12"/>
    </row>
    <row r="637" spans="1:12" ht="14.25" customHeight="1" x14ac:dyDescent="0.25">
      <c r="A637" s="10"/>
      <c r="C637" s="10"/>
      <c r="F637" s="8"/>
      <c r="G637" s="10"/>
      <c r="H637" s="10"/>
      <c r="I637" s="10"/>
      <c r="J637" s="11"/>
      <c r="K637" s="10"/>
      <c r="L637" s="12"/>
    </row>
    <row r="638" spans="1:12" ht="14.25" customHeight="1" x14ac:dyDescent="0.25">
      <c r="A638" s="10"/>
      <c r="C638" s="10"/>
      <c r="F638" s="8"/>
      <c r="G638" s="10"/>
      <c r="H638" s="10"/>
      <c r="I638" s="10"/>
      <c r="J638" s="11"/>
      <c r="K638" s="10"/>
      <c r="L638" s="12"/>
    </row>
    <row r="639" spans="1:12" ht="14.25" customHeight="1" x14ac:dyDescent="0.25">
      <c r="A639" s="10"/>
      <c r="C639" s="10"/>
      <c r="F639" s="8"/>
      <c r="G639" s="10"/>
      <c r="H639" s="10"/>
      <c r="I639" s="10"/>
      <c r="J639" s="11"/>
      <c r="K639" s="10"/>
      <c r="L639" s="12"/>
    </row>
    <row r="640" spans="1:12" ht="14.25" customHeight="1" x14ac:dyDescent="0.25">
      <c r="A640" s="10"/>
      <c r="C640" s="10"/>
      <c r="F640" s="8"/>
      <c r="G640" s="10"/>
      <c r="H640" s="10"/>
      <c r="I640" s="10"/>
      <c r="J640" s="11"/>
      <c r="K640" s="10"/>
      <c r="L640" s="12"/>
    </row>
    <row r="641" spans="1:12" ht="14.25" customHeight="1" x14ac:dyDescent="0.25">
      <c r="A641" s="10"/>
      <c r="C641" s="10"/>
      <c r="F641" s="8"/>
      <c r="G641" s="10"/>
      <c r="H641" s="10"/>
      <c r="I641" s="10"/>
      <c r="J641" s="11"/>
      <c r="K641" s="10"/>
      <c r="L641" s="12"/>
    </row>
    <row r="642" spans="1:12" ht="14.25" customHeight="1" x14ac:dyDescent="0.25">
      <c r="A642" s="10"/>
      <c r="C642" s="10"/>
      <c r="F642" s="8"/>
      <c r="G642" s="10"/>
      <c r="H642" s="10"/>
      <c r="I642" s="10"/>
      <c r="J642" s="11"/>
      <c r="K642" s="10"/>
      <c r="L642" s="12"/>
    </row>
    <row r="643" spans="1:12" ht="14.25" customHeight="1" x14ac:dyDescent="0.25">
      <c r="A643" s="10"/>
      <c r="C643" s="10"/>
      <c r="F643" s="8"/>
      <c r="G643" s="10"/>
      <c r="H643" s="10"/>
      <c r="I643" s="10"/>
      <c r="J643" s="11"/>
      <c r="K643" s="10"/>
      <c r="L643" s="12"/>
    </row>
    <row r="644" spans="1:12" ht="14.25" customHeight="1" x14ac:dyDescent="0.25">
      <c r="A644" s="10"/>
      <c r="C644" s="10"/>
      <c r="F644" s="8"/>
      <c r="G644" s="10"/>
      <c r="H644" s="10"/>
      <c r="I644" s="10"/>
      <c r="J644" s="11"/>
      <c r="K644" s="10"/>
      <c r="L644" s="12"/>
    </row>
    <row r="645" spans="1:12" ht="14.25" customHeight="1" x14ac:dyDescent="0.25">
      <c r="A645" s="10"/>
      <c r="C645" s="10"/>
      <c r="F645" s="8"/>
      <c r="G645" s="10"/>
      <c r="H645" s="10"/>
      <c r="I645" s="10"/>
      <c r="J645" s="11"/>
      <c r="K645" s="10"/>
      <c r="L645" s="12"/>
    </row>
    <row r="646" spans="1:12" ht="14.25" customHeight="1" x14ac:dyDescent="0.25">
      <c r="A646" s="10"/>
      <c r="C646" s="10"/>
      <c r="F646" s="8"/>
      <c r="G646" s="10"/>
      <c r="H646" s="10"/>
      <c r="I646" s="10"/>
      <c r="J646" s="11"/>
      <c r="K646" s="10"/>
      <c r="L646" s="12"/>
    </row>
    <row r="647" spans="1:12" ht="14.25" customHeight="1" x14ac:dyDescent="0.25">
      <c r="A647" s="10"/>
      <c r="C647" s="10"/>
      <c r="F647" s="8"/>
      <c r="G647" s="10"/>
      <c r="H647" s="10"/>
      <c r="I647" s="10"/>
      <c r="J647" s="11"/>
      <c r="K647" s="10"/>
      <c r="L647" s="12"/>
    </row>
    <row r="648" spans="1:12" ht="14.25" customHeight="1" x14ac:dyDescent="0.25">
      <c r="A648" s="10"/>
      <c r="C648" s="10"/>
      <c r="F648" s="8"/>
      <c r="G648" s="10"/>
      <c r="H648" s="10"/>
      <c r="I648" s="10"/>
      <c r="J648" s="11"/>
      <c r="K648" s="10"/>
      <c r="L648" s="12"/>
    </row>
    <row r="649" spans="1:12" ht="14.25" customHeight="1" x14ac:dyDescent="0.25">
      <c r="A649" s="10"/>
      <c r="C649" s="10"/>
      <c r="F649" s="8"/>
      <c r="G649" s="10"/>
      <c r="H649" s="10"/>
      <c r="I649" s="10"/>
      <c r="J649" s="11"/>
      <c r="K649" s="10"/>
      <c r="L649" s="12"/>
    </row>
    <row r="650" spans="1:12" ht="14.25" customHeight="1" x14ac:dyDescent="0.25">
      <c r="A650" s="10"/>
      <c r="C650" s="10"/>
      <c r="F650" s="8"/>
      <c r="G650" s="10"/>
      <c r="H650" s="10"/>
      <c r="I650" s="10"/>
      <c r="J650" s="11"/>
      <c r="K650" s="10"/>
      <c r="L650" s="12"/>
    </row>
    <row r="651" spans="1:12" ht="14.25" customHeight="1" x14ac:dyDescent="0.25">
      <c r="A651" s="10"/>
      <c r="C651" s="10"/>
      <c r="F651" s="8"/>
      <c r="G651" s="10"/>
      <c r="H651" s="10"/>
      <c r="I651" s="10"/>
      <c r="J651" s="11"/>
      <c r="K651" s="10"/>
      <c r="L651" s="12"/>
    </row>
    <row r="652" spans="1:12" ht="14.25" customHeight="1" x14ac:dyDescent="0.25">
      <c r="A652" s="10"/>
      <c r="C652" s="10"/>
      <c r="F652" s="8"/>
      <c r="G652" s="10"/>
      <c r="H652" s="10"/>
      <c r="I652" s="10"/>
      <c r="J652" s="11"/>
      <c r="K652" s="10"/>
      <c r="L652" s="12"/>
    </row>
    <row r="653" spans="1:12" ht="14.25" customHeight="1" x14ac:dyDescent="0.25">
      <c r="A653" s="10"/>
      <c r="C653" s="10"/>
      <c r="F653" s="8"/>
      <c r="G653" s="10"/>
      <c r="H653" s="10"/>
      <c r="I653" s="10"/>
      <c r="J653" s="11"/>
      <c r="K653" s="10"/>
      <c r="L653" s="12"/>
    </row>
    <row r="654" spans="1:12" ht="14.25" customHeight="1" x14ac:dyDescent="0.25">
      <c r="A654" s="10"/>
      <c r="C654" s="10"/>
      <c r="F654" s="8"/>
      <c r="G654" s="10"/>
      <c r="H654" s="10"/>
      <c r="I654" s="10"/>
      <c r="J654" s="11"/>
      <c r="K654" s="10"/>
      <c r="L654" s="12"/>
    </row>
    <row r="655" spans="1:12" ht="14.25" customHeight="1" x14ac:dyDescent="0.25">
      <c r="A655" s="10"/>
      <c r="C655" s="10"/>
      <c r="F655" s="8"/>
      <c r="G655" s="10"/>
      <c r="H655" s="10"/>
      <c r="I655" s="10"/>
      <c r="J655" s="11"/>
      <c r="K655" s="10"/>
      <c r="L655" s="12"/>
    </row>
    <row r="656" spans="1:12" ht="14.25" customHeight="1" x14ac:dyDescent="0.25">
      <c r="A656" s="10"/>
      <c r="C656" s="10"/>
      <c r="F656" s="8"/>
      <c r="G656" s="10"/>
      <c r="H656" s="10"/>
      <c r="I656" s="10"/>
      <c r="J656" s="11"/>
      <c r="K656" s="10"/>
      <c r="L656" s="12"/>
    </row>
    <row r="657" spans="1:12" ht="14.25" customHeight="1" x14ac:dyDescent="0.25">
      <c r="A657" s="10"/>
      <c r="C657" s="10"/>
      <c r="F657" s="8"/>
      <c r="G657" s="10"/>
      <c r="H657" s="10"/>
      <c r="I657" s="10"/>
      <c r="J657" s="11"/>
      <c r="K657" s="10"/>
      <c r="L657" s="12"/>
    </row>
    <row r="658" spans="1:12" ht="14.25" customHeight="1" x14ac:dyDescent="0.25">
      <c r="A658" s="10"/>
      <c r="C658" s="10"/>
      <c r="F658" s="8"/>
      <c r="G658" s="10"/>
      <c r="H658" s="10"/>
      <c r="I658" s="10"/>
      <c r="J658" s="11"/>
      <c r="K658" s="10"/>
      <c r="L658" s="12"/>
    </row>
    <row r="659" spans="1:12" ht="14.25" customHeight="1" x14ac:dyDescent="0.25">
      <c r="A659" s="10"/>
      <c r="C659" s="10"/>
      <c r="F659" s="8"/>
      <c r="G659" s="10"/>
      <c r="H659" s="10"/>
      <c r="I659" s="10"/>
      <c r="J659" s="11"/>
      <c r="K659" s="10"/>
      <c r="L659" s="12"/>
    </row>
    <row r="660" spans="1:12" ht="14.25" customHeight="1" x14ac:dyDescent="0.25">
      <c r="A660" s="10"/>
      <c r="C660" s="10"/>
      <c r="F660" s="8"/>
      <c r="G660" s="10"/>
      <c r="H660" s="10"/>
      <c r="I660" s="10"/>
      <c r="J660" s="11"/>
      <c r="K660" s="10"/>
      <c r="L660" s="12"/>
    </row>
    <row r="661" spans="1:12" ht="14.25" customHeight="1" x14ac:dyDescent="0.25">
      <c r="A661" s="10"/>
      <c r="C661" s="10"/>
      <c r="F661" s="8"/>
      <c r="G661" s="10"/>
      <c r="H661" s="10"/>
      <c r="I661" s="10"/>
      <c r="J661" s="11"/>
      <c r="K661" s="10"/>
      <c r="L661" s="12"/>
    </row>
    <row r="662" spans="1:12" ht="14.25" customHeight="1" x14ac:dyDescent="0.25">
      <c r="A662" s="10"/>
      <c r="C662" s="10"/>
      <c r="F662" s="8"/>
      <c r="G662" s="10"/>
      <c r="H662" s="10"/>
      <c r="I662" s="10"/>
      <c r="J662" s="11"/>
      <c r="K662" s="10"/>
      <c r="L662" s="12"/>
    </row>
    <row r="663" spans="1:12" ht="14.25" customHeight="1" x14ac:dyDescent="0.25">
      <c r="A663" s="10"/>
      <c r="C663" s="10"/>
      <c r="F663" s="8"/>
      <c r="G663" s="10"/>
      <c r="H663" s="10"/>
      <c r="I663" s="10"/>
      <c r="J663" s="11"/>
      <c r="K663" s="10"/>
      <c r="L663" s="12"/>
    </row>
    <row r="664" spans="1:12" ht="14.25" customHeight="1" x14ac:dyDescent="0.25">
      <c r="A664" s="10"/>
      <c r="C664" s="10"/>
      <c r="F664" s="8"/>
      <c r="G664" s="10"/>
      <c r="H664" s="10"/>
      <c r="I664" s="10"/>
      <c r="J664" s="11"/>
      <c r="K664" s="10"/>
      <c r="L664" s="12"/>
    </row>
    <row r="665" spans="1:12" ht="14.25" customHeight="1" x14ac:dyDescent="0.25">
      <c r="A665" s="10"/>
      <c r="C665" s="10"/>
      <c r="F665" s="8"/>
      <c r="G665" s="10"/>
      <c r="H665" s="10"/>
      <c r="I665" s="10"/>
      <c r="J665" s="11"/>
      <c r="K665" s="10"/>
      <c r="L665" s="12"/>
    </row>
    <row r="666" spans="1:12" ht="14.25" customHeight="1" x14ac:dyDescent="0.25">
      <c r="A666" s="10"/>
      <c r="C666" s="10"/>
      <c r="F666" s="8"/>
      <c r="G666" s="10"/>
      <c r="H666" s="10"/>
      <c r="I666" s="10"/>
      <c r="J666" s="11"/>
      <c r="K666" s="10"/>
      <c r="L666" s="12"/>
    </row>
    <row r="667" spans="1:12" ht="14.25" customHeight="1" x14ac:dyDescent="0.25">
      <c r="A667" s="10"/>
      <c r="C667" s="10"/>
      <c r="F667" s="8"/>
      <c r="G667" s="10"/>
      <c r="H667" s="10"/>
      <c r="I667" s="10"/>
      <c r="J667" s="11"/>
      <c r="K667" s="10"/>
      <c r="L667" s="12"/>
    </row>
    <row r="668" spans="1:12" ht="14.25" customHeight="1" x14ac:dyDescent="0.25">
      <c r="A668" s="10"/>
      <c r="C668" s="10"/>
      <c r="F668" s="8"/>
      <c r="G668" s="10"/>
      <c r="H668" s="10"/>
      <c r="I668" s="10"/>
      <c r="J668" s="11"/>
      <c r="K668" s="10"/>
      <c r="L668" s="12"/>
    </row>
    <row r="669" spans="1:12" ht="14.25" customHeight="1" x14ac:dyDescent="0.25">
      <c r="A669" s="10"/>
      <c r="C669" s="10"/>
      <c r="F669" s="8"/>
      <c r="G669" s="10"/>
      <c r="H669" s="10"/>
      <c r="I669" s="10"/>
      <c r="J669" s="11"/>
      <c r="K669" s="10"/>
      <c r="L669" s="12"/>
    </row>
    <row r="670" spans="1:12" ht="14.25" customHeight="1" x14ac:dyDescent="0.25">
      <c r="A670" s="10"/>
      <c r="C670" s="10"/>
      <c r="F670" s="8"/>
      <c r="G670" s="10"/>
      <c r="H670" s="10"/>
      <c r="I670" s="10"/>
      <c r="J670" s="11"/>
      <c r="K670" s="10"/>
      <c r="L670" s="12"/>
    </row>
    <row r="671" spans="1:12" ht="14.25" customHeight="1" x14ac:dyDescent="0.25">
      <c r="A671" s="10"/>
      <c r="C671" s="10"/>
      <c r="F671" s="8"/>
      <c r="G671" s="10"/>
      <c r="H671" s="10"/>
      <c r="I671" s="10"/>
      <c r="J671" s="11"/>
      <c r="K671" s="10"/>
      <c r="L671" s="12"/>
    </row>
    <row r="672" spans="1:12" ht="14.25" customHeight="1" x14ac:dyDescent="0.25">
      <c r="A672" s="10"/>
      <c r="C672" s="10"/>
      <c r="F672" s="8"/>
      <c r="G672" s="10"/>
      <c r="H672" s="10"/>
      <c r="I672" s="10"/>
      <c r="J672" s="11"/>
      <c r="K672" s="10"/>
      <c r="L672" s="12"/>
    </row>
    <row r="673" spans="1:12" ht="14.25" customHeight="1" x14ac:dyDescent="0.25">
      <c r="A673" s="10"/>
      <c r="C673" s="10"/>
      <c r="F673" s="8"/>
      <c r="G673" s="10"/>
      <c r="H673" s="10"/>
      <c r="I673" s="10"/>
      <c r="J673" s="11"/>
      <c r="K673" s="10"/>
      <c r="L673" s="12"/>
    </row>
    <row r="674" spans="1:12" ht="14.25" customHeight="1" x14ac:dyDescent="0.25">
      <c r="A674" s="10"/>
      <c r="C674" s="10"/>
      <c r="F674" s="8"/>
      <c r="G674" s="10"/>
      <c r="H674" s="10"/>
      <c r="I674" s="10"/>
      <c r="J674" s="11"/>
      <c r="K674" s="10"/>
      <c r="L674" s="12"/>
    </row>
    <row r="675" spans="1:12" ht="14.25" customHeight="1" x14ac:dyDescent="0.25">
      <c r="A675" s="10"/>
      <c r="C675" s="10"/>
      <c r="F675" s="8"/>
      <c r="G675" s="10"/>
      <c r="H675" s="10"/>
      <c r="I675" s="10"/>
      <c r="J675" s="11"/>
      <c r="K675" s="10"/>
      <c r="L675" s="12"/>
    </row>
    <row r="676" spans="1:12" ht="14.25" customHeight="1" x14ac:dyDescent="0.25">
      <c r="A676" s="10"/>
      <c r="C676" s="10"/>
      <c r="F676" s="8"/>
      <c r="G676" s="10"/>
      <c r="H676" s="10"/>
      <c r="I676" s="10"/>
      <c r="J676" s="11"/>
      <c r="K676" s="10"/>
      <c r="L676" s="12"/>
    </row>
    <row r="677" spans="1:12" ht="14.25" customHeight="1" x14ac:dyDescent="0.25">
      <c r="A677" s="10"/>
      <c r="C677" s="10"/>
      <c r="F677" s="8"/>
      <c r="G677" s="10"/>
      <c r="H677" s="10"/>
      <c r="I677" s="10"/>
      <c r="J677" s="11"/>
      <c r="K677" s="10"/>
      <c r="L677" s="12"/>
    </row>
    <row r="678" spans="1:12" ht="14.25" customHeight="1" x14ac:dyDescent="0.25">
      <c r="A678" s="10"/>
      <c r="C678" s="10"/>
      <c r="F678" s="8"/>
      <c r="G678" s="10"/>
      <c r="H678" s="10"/>
      <c r="I678" s="10"/>
      <c r="J678" s="11"/>
      <c r="K678" s="10"/>
      <c r="L678" s="12"/>
    </row>
    <row r="679" spans="1:12" ht="14.25" customHeight="1" x14ac:dyDescent="0.25">
      <c r="A679" s="10"/>
      <c r="C679" s="10"/>
      <c r="F679" s="8"/>
      <c r="G679" s="10"/>
      <c r="H679" s="10"/>
      <c r="I679" s="10"/>
      <c r="J679" s="11"/>
      <c r="K679" s="10"/>
      <c r="L679" s="12"/>
    </row>
    <row r="680" spans="1:12" ht="14.25" customHeight="1" x14ac:dyDescent="0.25">
      <c r="A680" s="10"/>
      <c r="C680" s="10"/>
      <c r="F680" s="8"/>
      <c r="G680" s="10"/>
      <c r="H680" s="10"/>
      <c r="I680" s="10"/>
      <c r="J680" s="11"/>
      <c r="K680" s="10"/>
      <c r="L680" s="12"/>
    </row>
    <row r="681" spans="1:12" ht="14.25" customHeight="1" x14ac:dyDescent="0.25">
      <c r="A681" s="10"/>
      <c r="C681" s="10"/>
      <c r="F681" s="8"/>
      <c r="G681" s="10"/>
      <c r="H681" s="10"/>
      <c r="I681" s="10"/>
      <c r="J681" s="11"/>
      <c r="K681" s="10"/>
      <c r="L681" s="12"/>
    </row>
    <row r="682" spans="1:12" ht="14.25" customHeight="1" x14ac:dyDescent="0.25">
      <c r="A682" s="10"/>
      <c r="C682" s="10"/>
      <c r="F682" s="8"/>
      <c r="G682" s="10"/>
      <c r="H682" s="10"/>
      <c r="I682" s="10"/>
      <c r="J682" s="11"/>
      <c r="K682" s="10"/>
      <c r="L682" s="12"/>
    </row>
    <row r="683" spans="1:12" ht="14.25" customHeight="1" x14ac:dyDescent="0.25">
      <c r="A683" s="10"/>
      <c r="C683" s="10"/>
      <c r="F683" s="8"/>
      <c r="G683" s="10"/>
      <c r="H683" s="10"/>
      <c r="I683" s="10"/>
      <c r="J683" s="11"/>
      <c r="K683" s="10"/>
      <c r="L683" s="12"/>
    </row>
    <row r="684" spans="1:12" ht="14.25" customHeight="1" x14ac:dyDescent="0.25">
      <c r="A684" s="10"/>
      <c r="C684" s="10"/>
      <c r="F684" s="8"/>
      <c r="G684" s="10"/>
      <c r="H684" s="10"/>
      <c r="I684" s="10"/>
      <c r="J684" s="11"/>
      <c r="K684" s="10"/>
      <c r="L684" s="12"/>
    </row>
    <row r="685" spans="1:12" ht="14.25" customHeight="1" x14ac:dyDescent="0.25">
      <c r="A685" s="10"/>
      <c r="C685" s="10"/>
      <c r="F685" s="8"/>
      <c r="G685" s="10"/>
      <c r="H685" s="10"/>
      <c r="I685" s="10"/>
      <c r="J685" s="11"/>
      <c r="K685" s="10"/>
      <c r="L685" s="12"/>
    </row>
    <row r="686" spans="1:12" ht="14.25" customHeight="1" x14ac:dyDescent="0.25">
      <c r="A686" s="10"/>
      <c r="C686" s="10"/>
      <c r="F686" s="8"/>
      <c r="G686" s="10"/>
      <c r="H686" s="10"/>
      <c r="I686" s="10"/>
      <c r="J686" s="11"/>
      <c r="K686" s="10"/>
      <c r="L686" s="12"/>
    </row>
    <row r="687" spans="1:12" ht="14.25" customHeight="1" x14ac:dyDescent="0.25">
      <c r="A687" s="10"/>
      <c r="C687" s="10"/>
      <c r="F687" s="8"/>
      <c r="G687" s="10"/>
      <c r="H687" s="10"/>
      <c r="I687" s="10"/>
      <c r="J687" s="11"/>
      <c r="K687" s="10"/>
      <c r="L687" s="12"/>
    </row>
    <row r="688" spans="1:12" ht="14.25" customHeight="1" x14ac:dyDescent="0.25">
      <c r="A688" s="10"/>
      <c r="C688" s="10"/>
      <c r="F688" s="8"/>
      <c r="G688" s="10"/>
      <c r="H688" s="10"/>
      <c r="I688" s="10"/>
      <c r="J688" s="11"/>
      <c r="K688" s="10"/>
      <c r="L688" s="12"/>
    </row>
    <row r="689" spans="1:12" ht="14.25" customHeight="1" x14ac:dyDescent="0.25">
      <c r="A689" s="10"/>
      <c r="C689" s="10"/>
      <c r="F689" s="8"/>
      <c r="G689" s="10"/>
      <c r="H689" s="10"/>
      <c r="I689" s="10"/>
      <c r="J689" s="11"/>
      <c r="K689" s="10"/>
      <c r="L689" s="12"/>
    </row>
    <row r="690" spans="1:12" ht="14.25" customHeight="1" x14ac:dyDescent="0.25">
      <c r="A690" s="10"/>
      <c r="C690" s="10"/>
      <c r="F690" s="8"/>
      <c r="G690" s="10"/>
      <c r="H690" s="10"/>
      <c r="I690" s="10"/>
      <c r="J690" s="11"/>
      <c r="K690" s="10"/>
      <c r="L690" s="12"/>
    </row>
    <row r="691" spans="1:12" ht="14.25" customHeight="1" x14ac:dyDescent="0.25">
      <c r="A691" s="10"/>
      <c r="C691" s="10"/>
      <c r="F691" s="8"/>
      <c r="G691" s="10"/>
      <c r="H691" s="10"/>
      <c r="I691" s="10"/>
      <c r="J691" s="11"/>
      <c r="K691" s="10"/>
      <c r="L691" s="12"/>
    </row>
    <row r="692" spans="1:12" ht="14.25" customHeight="1" x14ac:dyDescent="0.25">
      <c r="A692" s="10"/>
      <c r="C692" s="10"/>
      <c r="F692" s="8"/>
      <c r="G692" s="10"/>
      <c r="H692" s="10"/>
      <c r="I692" s="10"/>
      <c r="J692" s="11"/>
      <c r="K692" s="10"/>
      <c r="L692" s="12"/>
    </row>
    <row r="693" spans="1:12" ht="14.25" customHeight="1" x14ac:dyDescent="0.25">
      <c r="A693" s="10"/>
      <c r="C693" s="10"/>
      <c r="F693" s="8"/>
      <c r="G693" s="10"/>
      <c r="H693" s="10"/>
      <c r="I693" s="10"/>
      <c r="J693" s="11"/>
      <c r="K693" s="10"/>
      <c r="L693" s="12"/>
    </row>
    <row r="694" spans="1:12" ht="14.25" customHeight="1" x14ac:dyDescent="0.25">
      <c r="A694" s="10"/>
      <c r="C694" s="10"/>
      <c r="F694" s="8"/>
      <c r="G694" s="10"/>
      <c r="H694" s="10"/>
      <c r="I694" s="10"/>
      <c r="J694" s="11"/>
      <c r="K694" s="10"/>
      <c r="L694" s="12"/>
    </row>
    <row r="695" spans="1:12" ht="14.25" customHeight="1" x14ac:dyDescent="0.25">
      <c r="A695" s="10"/>
      <c r="C695" s="10"/>
      <c r="F695" s="8"/>
      <c r="G695" s="10"/>
      <c r="H695" s="10"/>
      <c r="I695" s="10"/>
      <c r="J695" s="11"/>
      <c r="K695" s="10"/>
      <c r="L695" s="12"/>
    </row>
    <row r="696" spans="1:12" ht="14.25" customHeight="1" x14ac:dyDescent="0.25">
      <c r="A696" s="10"/>
      <c r="C696" s="10"/>
      <c r="F696" s="8"/>
      <c r="G696" s="10"/>
      <c r="H696" s="10"/>
      <c r="I696" s="10"/>
      <c r="J696" s="11"/>
      <c r="K696" s="10"/>
      <c r="L696" s="12"/>
    </row>
    <row r="697" spans="1:12" ht="14.25" customHeight="1" x14ac:dyDescent="0.25">
      <c r="A697" s="10"/>
      <c r="C697" s="10"/>
      <c r="F697" s="8"/>
      <c r="G697" s="10"/>
      <c r="H697" s="10"/>
      <c r="I697" s="10"/>
      <c r="J697" s="11"/>
      <c r="K697" s="10"/>
      <c r="L697" s="12"/>
    </row>
    <row r="698" spans="1:12" ht="14.25" customHeight="1" x14ac:dyDescent="0.25">
      <c r="A698" s="10"/>
      <c r="C698" s="10"/>
      <c r="F698" s="8"/>
      <c r="G698" s="10"/>
      <c r="H698" s="10"/>
      <c r="I698" s="10"/>
      <c r="J698" s="11"/>
      <c r="K698" s="10"/>
      <c r="L698" s="12"/>
    </row>
    <row r="699" spans="1:12" ht="14.25" customHeight="1" x14ac:dyDescent="0.25">
      <c r="A699" s="10"/>
      <c r="C699" s="10"/>
      <c r="F699" s="8"/>
      <c r="G699" s="10"/>
      <c r="H699" s="10"/>
      <c r="I699" s="10"/>
      <c r="J699" s="11"/>
      <c r="K699" s="10"/>
      <c r="L699" s="12"/>
    </row>
    <row r="700" spans="1:12" ht="14.25" customHeight="1" x14ac:dyDescent="0.25">
      <c r="A700" s="10"/>
      <c r="C700" s="10"/>
      <c r="F700" s="8"/>
      <c r="G700" s="10"/>
      <c r="H700" s="10"/>
      <c r="I700" s="10"/>
      <c r="J700" s="11"/>
      <c r="K700" s="10"/>
      <c r="L700" s="12"/>
    </row>
    <row r="701" spans="1:12" ht="14.25" customHeight="1" x14ac:dyDescent="0.25">
      <c r="A701" s="10"/>
      <c r="C701" s="10"/>
      <c r="F701" s="8"/>
      <c r="G701" s="10"/>
      <c r="H701" s="10"/>
      <c r="I701" s="10"/>
      <c r="J701" s="11"/>
      <c r="K701" s="10"/>
      <c r="L701" s="12"/>
    </row>
    <row r="702" spans="1:12" ht="14.25" customHeight="1" x14ac:dyDescent="0.25">
      <c r="A702" s="10"/>
      <c r="C702" s="10"/>
      <c r="F702" s="8"/>
      <c r="G702" s="10"/>
      <c r="H702" s="10"/>
      <c r="I702" s="10"/>
      <c r="J702" s="11"/>
      <c r="K702" s="10"/>
      <c r="L702" s="12"/>
    </row>
    <row r="703" spans="1:12" ht="14.25" customHeight="1" x14ac:dyDescent="0.25">
      <c r="A703" s="10"/>
      <c r="C703" s="10"/>
      <c r="F703" s="8"/>
      <c r="G703" s="10"/>
      <c r="H703" s="10"/>
      <c r="I703" s="10"/>
      <c r="J703" s="11"/>
      <c r="K703" s="10"/>
      <c r="L703" s="12"/>
    </row>
    <row r="704" spans="1:12" ht="14.25" customHeight="1" x14ac:dyDescent="0.25">
      <c r="A704" s="10"/>
      <c r="C704" s="10"/>
      <c r="F704" s="8"/>
      <c r="G704" s="10"/>
      <c r="H704" s="10"/>
      <c r="I704" s="10"/>
      <c r="J704" s="11"/>
      <c r="K704" s="10"/>
      <c r="L704" s="12"/>
    </row>
    <row r="705" spans="1:12" ht="14.25" customHeight="1" x14ac:dyDescent="0.25">
      <c r="A705" s="10"/>
      <c r="C705" s="10"/>
      <c r="F705" s="8"/>
      <c r="G705" s="10"/>
      <c r="H705" s="10"/>
      <c r="I705" s="10"/>
      <c r="J705" s="11"/>
      <c r="K705" s="10"/>
      <c r="L705" s="12"/>
    </row>
    <row r="706" spans="1:12" ht="14.25" customHeight="1" x14ac:dyDescent="0.25">
      <c r="A706" s="10"/>
      <c r="C706" s="10"/>
      <c r="F706" s="8"/>
      <c r="G706" s="10"/>
      <c r="H706" s="10"/>
      <c r="I706" s="10"/>
      <c r="J706" s="11"/>
      <c r="K706" s="10"/>
      <c r="L706" s="12"/>
    </row>
    <row r="707" spans="1:12" ht="14.25" customHeight="1" x14ac:dyDescent="0.25">
      <c r="A707" s="10"/>
      <c r="C707" s="10"/>
      <c r="F707" s="8"/>
      <c r="G707" s="10"/>
      <c r="H707" s="10"/>
      <c r="I707" s="10"/>
      <c r="J707" s="11"/>
      <c r="K707" s="10"/>
      <c r="L707" s="12"/>
    </row>
    <row r="708" spans="1:12" ht="14.25" customHeight="1" x14ac:dyDescent="0.25">
      <c r="A708" s="10"/>
      <c r="C708" s="10"/>
      <c r="F708" s="8"/>
      <c r="G708" s="10"/>
      <c r="H708" s="10"/>
      <c r="I708" s="10"/>
      <c r="J708" s="11"/>
      <c r="K708" s="10"/>
      <c r="L708" s="12"/>
    </row>
    <row r="709" spans="1:12" ht="14.25" customHeight="1" x14ac:dyDescent="0.25">
      <c r="A709" s="10"/>
      <c r="C709" s="10"/>
      <c r="F709" s="8"/>
      <c r="G709" s="10"/>
      <c r="H709" s="10"/>
      <c r="I709" s="10"/>
      <c r="J709" s="11"/>
      <c r="K709" s="10"/>
      <c r="L709" s="12"/>
    </row>
    <row r="710" spans="1:12" ht="14.25" customHeight="1" x14ac:dyDescent="0.25">
      <c r="A710" s="10"/>
      <c r="C710" s="10"/>
      <c r="F710" s="8"/>
      <c r="G710" s="10"/>
      <c r="H710" s="10"/>
      <c r="I710" s="10"/>
      <c r="J710" s="11"/>
      <c r="K710" s="10"/>
      <c r="L710" s="12"/>
    </row>
    <row r="711" spans="1:12" ht="14.25" customHeight="1" x14ac:dyDescent="0.25">
      <c r="A711" s="10"/>
      <c r="C711" s="10"/>
      <c r="F711" s="8"/>
      <c r="G711" s="10"/>
      <c r="H711" s="10"/>
      <c r="I711" s="10"/>
      <c r="J711" s="11"/>
      <c r="K711" s="10"/>
      <c r="L711" s="12"/>
    </row>
    <row r="712" spans="1:12" ht="14.25" customHeight="1" x14ac:dyDescent="0.25">
      <c r="A712" s="10"/>
      <c r="C712" s="10"/>
      <c r="F712" s="8"/>
      <c r="G712" s="10"/>
      <c r="H712" s="10"/>
      <c r="I712" s="10"/>
      <c r="J712" s="11"/>
      <c r="K712" s="10"/>
      <c r="L712" s="12"/>
    </row>
    <row r="713" spans="1:12" ht="14.25" customHeight="1" x14ac:dyDescent="0.25">
      <c r="A713" s="10"/>
      <c r="C713" s="10"/>
      <c r="F713" s="8"/>
      <c r="G713" s="10"/>
      <c r="H713" s="10"/>
      <c r="I713" s="10"/>
      <c r="J713" s="11"/>
      <c r="K713" s="10"/>
      <c r="L713" s="12"/>
    </row>
    <row r="714" spans="1:12" ht="14.25" customHeight="1" x14ac:dyDescent="0.25">
      <c r="A714" s="10"/>
      <c r="C714" s="10"/>
      <c r="F714" s="8"/>
      <c r="G714" s="10"/>
      <c r="H714" s="10"/>
      <c r="I714" s="10"/>
      <c r="J714" s="11"/>
      <c r="K714" s="10"/>
      <c r="L714" s="12"/>
    </row>
    <row r="715" spans="1:12" ht="14.25" customHeight="1" x14ac:dyDescent="0.25">
      <c r="A715" s="10"/>
      <c r="C715" s="10"/>
      <c r="F715" s="8"/>
      <c r="G715" s="10"/>
      <c r="H715" s="10"/>
      <c r="I715" s="10"/>
      <c r="J715" s="11"/>
      <c r="K715" s="10"/>
      <c r="L715" s="12"/>
    </row>
    <row r="716" spans="1:12" ht="14.25" customHeight="1" x14ac:dyDescent="0.25">
      <c r="A716" s="10"/>
      <c r="C716" s="10"/>
      <c r="F716" s="8"/>
      <c r="G716" s="10"/>
      <c r="H716" s="10"/>
      <c r="I716" s="10"/>
      <c r="J716" s="11"/>
      <c r="K716" s="10"/>
      <c r="L716" s="12"/>
    </row>
    <row r="717" spans="1:12" ht="14.25" customHeight="1" x14ac:dyDescent="0.25">
      <c r="A717" s="10"/>
      <c r="C717" s="10"/>
      <c r="F717" s="8"/>
      <c r="G717" s="10"/>
      <c r="H717" s="10"/>
      <c r="I717" s="10"/>
      <c r="J717" s="11"/>
      <c r="K717" s="10"/>
      <c r="L717" s="12"/>
    </row>
    <row r="718" spans="1:12" ht="14.25" customHeight="1" x14ac:dyDescent="0.25">
      <c r="A718" s="10"/>
      <c r="C718" s="10"/>
      <c r="F718" s="8"/>
      <c r="G718" s="10"/>
      <c r="H718" s="10"/>
      <c r="I718" s="10"/>
      <c r="J718" s="11"/>
      <c r="K718" s="10"/>
      <c r="L718" s="12"/>
    </row>
    <row r="719" spans="1:12" ht="14.25" customHeight="1" x14ac:dyDescent="0.25">
      <c r="A719" s="10"/>
      <c r="C719" s="10"/>
      <c r="F719" s="8"/>
      <c r="G719" s="10"/>
      <c r="H719" s="10"/>
      <c r="I719" s="10"/>
      <c r="J719" s="11"/>
      <c r="K719" s="10"/>
      <c r="L719" s="12"/>
    </row>
    <row r="720" spans="1:12" ht="14.25" customHeight="1" x14ac:dyDescent="0.25">
      <c r="A720" s="10"/>
      <c r="C720" s="10"/>
      <c r="F720" s="8"/>
      <c r="G720" s="10"/>
      <c r="H720" s="10"/>
      <c r="I720" s="10"/>
      <c r="J720" s="11"/>
      <c r="K720" s="10"/>
      <c r="L720" s="12"/>
    </row>
    <row r="721" spans="1:12" ht="14.25" customHeight="1" x14ac:dyDescent="0.25">
      <c r="A721" s="10"/>
      <c r="C721" s="10"/>
      <c r="F721" s="8"/>
      <c r="G721" s="10"/>
      <c r="H721" s="10"/>
      <c r="I721" s="10"/>
      <c r="J721" s="11"/>
      <c r="K721" s="10"/>
      <c r="L721" s="12"/>
    </row>
    <row r="722" spans="1:12" ht="14.25" customHeight="1" x14ac:dyDescent="0.25">
      <c r="A722" s="10"/>
      <c r="C722" s="10"/>
      <c r="F722" s="8"/>
      <c r="G722" s="10"/>
      <c r="H722" s="10"/>
      <c r="I722" s="10"/>
      <c r="J722" s="11"/>
      <c r="K722" s="10"/>
      <c r="L722" s="12"/>
    </row>
    <row r="723" spans="1:12" ht="14.25" customHeight="1" x14ac:dyDescent="0.25">
      <c r="A723" s="10"/>
      <c r="C723" s="10"/>
      <c r="F723" s="8"/>
      <c r="G723" s="10"/>
      <c r="H723" s="10"/>
      <c r="I723" s="10"/>
      <c r="J723" s="11"/>
      <c r="K723" s="10"/>
      <c r="L723" s="12"/>
    </row>
    <row r="724" spans="1:12" ht="14.25" customHeight="1" x14ac:dyDescent="0.25">
      <c r="A724" s="10"/>
      <c r="C724" s="10"/>
      <c r="F724" s="8"/>
      <c r="G724" s="10"/>
      <c r="H724" s="10"/>
      <c r="I724" s="10"/>
      <c r="J724" s="11"/>
      <c r="K724" s="10"/>
      <c r="L724" s="12"/>
    </row>
    <row r="725" spans="1:12" ht="14.25" customHeight="1" x14ac:dyDescent="0.25">
      <c r="A725" s="10"/>
      <c r="C725" s="10"/>
      <c r="F725" s="8"/>
      <c r="G725" s="10"/>
      <c r="H725" s="10"/>
      <c r="I725" s="10"/>
      <c r="J725" s="11"/>
      <c r="K725" s="10"/>
      <c r="L725" s="12"/>
    </row>
    <row r="726" spans="1:12" ht="14.25" customHeight="1" x14ac:dyDescent="0.25">
      <c r="A726" s="10"/>
      <c r="C726" s="10"/>
      <c r="F726" s="8"/>
      <c r="G726" s="10"/>
      <c r="H726" s="10"/>
      <c r="I726" s="10"/>
      <c r="J726" s="11"/>
      <c r="K726" s="10"/>
      <c r="L726" s="12"/>
    </row>
    <row r="727" spans="1:12" ht="14.25" customHeight="1" x14ac:dyDescent="0.25">
      <c r="A727" s="10"/>
      <c r="C727" s="10"/>
      <c r="F727" s="8"/>
      <c r="G727" s="10"/>
      <c r="H727" s="10"/>
      <c r="I727" s="10"/>
      <c r="J727" s="11"/>
      <c r="K727" s="10"/>
      <c r="L727" s="12"/>
    </row>
    <row r="728" spans="1:12" ht="14.25" customHeight="1" x14ac:dyDescent="0.25">
      <c r="A728" s="10"/>
      <c r="C728" s="10"/>
      <c r="F728" s="8"/>
      <c r="G728" s="10"/>
      <c r="H728" s="10"/>
      <c r="I728" s="10"/>
      <c r="J728" s="11"/>
      <c r="K728" s="10"/>
      <c r="L728" s="12"/>
    </row>
    <row r="729" spans="1:12" ht="14.25" customHeight="1" x14ac:dyDescent="0.25">
      <c r="A729" s="10"/>
      <c r="C729" s="10"/>
      <c r="F729" s="8"/>
      <c r="G729" s="10"/>
      <c r="H729" s="10"/>
      <c r="I729" s="10"/>
      <c r="J729" s="11"/>
      <c r="K729" s="10"/>
      <c r="L729" s="12"/>
    </row>
    <row r="730" spans="1:12" ht="14.25" customHeight="1" x14ac:dyDescent="0.25">
      <c r="A730" s="10"/>
      <c r="C730" s="10"/>
      <c r="F730" s="8"/>
      <c r="G730" s="10"/>
      <c r="H730" s="10"/>
      <c r="I730" s="10"/>
      <c r="J730" s="11"/>
      <c r="K730" s="10"/>
      <c r="L730" s="12"/>
    </row>
    <row r="731" spans="1:12" ht="14.25" customHeight="1" x14ac:dyDescent="0.25">
      <c r="A731" s="10"/>
      <c r="C731" s="10"/>
      <c r="F731" s="8"/>
      <c r="G731" s="10"/>
      <c r="H731" s="10"/>
      <c r="I731" s="10"/>
      <c r="J731" s="11"/>
      <c r="K731" s="10"/>
      <c r="L731" s="12"/>
    </row>
    <row r="732" spans="1:12" ht="14.25" customHeight="1" x14ac:dyDescent="0.25">
      <c r="A732" s="10"/>
      <c r="C732" s="10"/>
      <c r="F732" s="8"/>
      <c r="G732" s="10"/>
      <c r="H732" s="10"/>
      <c r="I732" s="10"/>
      <c r="J732" s="11"/>
      <c r="K732" s="10"/>
      <c r="L732" s="12"/>
    </row>
    <row r="733" spans="1:12" ht="14.25" customHeight="1" x14ac:dyDescent="0.25">
      <c r="A733" s="10"/>
      <c r="C733" s="10"/>
      <c r="F733" s="8"/>
      <c r="G733" s="10"/>
      <c r="H733" s="10"/>
      <c r="I733" s="10"/>
      <c r="J733" s="11"/>
      <c r="K733" s="10"/>
      <c r="L733" s="12"/>
    </row>
    <row r="734" spans="1:12" ht="14.25" customHeight="1" x14ac:dyDescent="0.25">
      <c r="A734" s="10"/>
      <c r="C734" s="10"/>
      <c r="F734" s="8"/>
      <c r="G734" s="10"/>
      <c r="H734" s="10"/>
      <c r="I734" s="10"/>
      <c r="J734" s="11"/>
      <c r="K734" s="10"/>
      <c r="L734" s="12"/>
    </row>
    <row r="735" spans="1:12" ht="14.25" customHeight="1" x14ac:dyDescent="0.25">
      <c r="A735" s="10"/>
      <c r="C735" s="10"/>
      <c r="F735" s="8"/>
      <c r="G735" s="10"/>
      <c r="H735" s="10"/>
      <c r="I735" s="10"/>
      <c r="J735" s="11"/>
      <c r="K735" s="10"/>
      <c r="L735" s="12"/>
    </row>
    <row r="736" spans="1:12" ht="14.25" customHeight="1" x14ac:dyDescent="0.25">
      <c r="A736" s="10"/>
      <c r="C736" s="10"/>
      <c r="F736" s="8"/>
      <c r="G736" s="10"/>
      <c r="H736" s="10"/>
      <c r="I736" s="10"/>
      <c r="J736" s="11"/>
      <c r="K736" s="10"/>
      <c r="L736" s="12"/>
    </row>
    <row r="737" spans="1:12" ht="14.25" customHeight="1" x14ac:dyDescent="0.25">
      <c r="A737" s="10"/>
      <c r="C737" s="10"/>
      <c r="F737" s="8"/>
      <c r="G737" s="10"/>
      <c r="H737" s="10"/>
      <c r="I737" s="10"/>
      <c r="J737" s="11"/>
      <c r="K737" s="10"/>
      <c r="L737" s="12"/>
    </row>
    <row r="738" spans="1:12" ht="14.25" customHeight="1" x14ac:dyDescent="0.25">
      <c r="A738" s="10"/>
      <c r="C738" s="10"/>
      <c r="F738" s="8"/>
      <c r="G738" s="10"/>
      <c r="H738" s="10"/>
      <c r="I738" s="10"/>
      <c r="J738" s="11"/>
      <c r="K738" s="10"/>
      <c r="L738" s="12"/>
    </row>
    <row r="739" spans="1:12" ht="14.25" customHeight="1" x14ac:dyDescent="0.25">
      <c r="A739" s="10"/>
      <c r="C739" s="10"/>
      <c r="F739" s="8"/>
      <c r="G739" s="10"/>
      <c r="H739" s="10"/>
      <c r="I739" s="10"/>
      <c r="J739" s="11"/>
      <c r="K739" s="10"/>
      <c r="L739" s="12"/>
    </row>
    <row r="740" spans="1:12" ht="14.25" customHeight="1" x14ac:dyDescent="0.25">
      <c r="A740" s="10"/>
      <c r="C740" s="10"/>
      <c r="F740" s="8"/>
      <c r="G740" s="10"/>
      <c r="H740" s="10"/>
      <c r="I740" s="10"/>
      <c r="J740" s="11"/>
      <c r="K740" s="10"/>
      <c r="L740" s="12"/>
    </row>
    <row r="741" spans="1:12" ht="14.25" customHeight="1" x14ac:dyDescent="0.25">
      <c r="A741" s="10"/>
      <c r="C741" s="10"/>
      <c r="F741" s="8"/>
      <c r="G741" s="10"/>
      <c r="H741" s="10"/>
      <c r="I741" s="10"/>
      <c r="J741" s="11"/>
      <c r="K741" s="10"/>
      <c r="L741" s="12"/>
    </row>
    <row r="742" spans="1:12" ht="14.25" customHeight="1" x14ac:dyDescent="0.25">
      <c r="A742" s="10"/>
      <c r="C742" s="10"/>
      <c r="F742" s="8"/>
      <c r="G742" s="10"/>
      <c r="H742" s="10"/>
      <c r="I742" s="10"/>
      <c r="J742" s="11"/>
      <c r="K742" s="10"/>
      <c r="L742" s="12"/>
    </row>
    <row r="743" spans="1:12" ht="14.25" customHeight="1" x14ac:dyDescent="0.25">
      <c r="A743" s="10"/>
      <c r="C743" s="10"/>
      <c r="F743" s="8"/>
      <c r="G743" s="10"/>
      <c r="H743" s="10"/>
      <c r="I743" s="10"/>
      <c r="J743" s="11"/>
      <c r="K743" s="10"/>
      <c r="L743" s="12"/>
    </row>
    <row r="744" spans="1:12" ht="14.25" customHeight="1" x14ac:dyDescent="0.25">
      <c r="A744" s="10"/>
      <c r="C744" s="10"/>
      <c r="F744" s="8"/>
      <c r="G744" s="10"/>
      <c r="H744" s="10"/>
      <c r="I744" s="10"/>
      <c r="J744" s="11"/>
      <c r="K744" s="10"/>
      <c r="L744" s="12"/>
    </row>
    <row r="745" spans="1:12" ht="14.25" customHeight="1" x14ac:dyDescent="0.25">
      <c r="A745" s="10"/>
      <c r="C745" s="10"/>
      <c r="F745" s="8"/>
      <c r="G745" s="10"/>
      <c r="H745" s="10"/>
      <c r="I745" s="10"/>
      <c r="J745" s="11"/>
      <c r="K745" s="10"/>
      <c r="L745" s="12"/>
    </row>
    <row r="746" spans="1:12" ht="14.25" customHeight="1" x14ac:dyDescent="0.25">
      <c r="A746" s="10"/>
      <c r="C746" s="10"/>
      <c r="F746" s="8"/>
      <c r="G746" s="10"/>
      <c r="H746" s="10"/>
      <c r="I746" s="10"/>
      <c r="J746" s="11"/>
      <c r="K746" s="10"/>
      <c r="L746" s="12"/>
    </row>
    <row r="747" spans="1:12" ht="14.25" customHeight="1" x14ac:dyDescent="0.25">
      <c r="A747" s="10"/>
      <c r="C747" s="10"/>
      <c r="F747" s="8"/>
      <c r="G747" s="10"/>
      <c r="H747" s="10"/>
      <c r="I747" s="10"/>
      <c r="J747" s="11"/>
      <c r="K747" s="10"/>
      <c r="L747" s="12"/>
    </row>
    <row r="748" spans="1:12" ht="14.25" customHeight="1" x14ac:dyDescent="0.25">
      <c r="A748" s="10"/>
      <c r="C748" s="10"/>
      <c r="F748" s="8"/>
      <c r="G748" s="10"/>
      <c r="H748" s="10"/>
      <c r="I748" s="10"/>
      <c r="J748" s="11"/>
      <c r="K748" s="10"/>
      <c r="L748" s="12"/>
    </row>
    <row r="749" spans="1:12" ht="14.25" customHeight="1" x14ac:dyDescent="0.25">
      <c r="A749" s="10"/>
      <c r="C749" s="10"/>
      <c r="F749" s="8"/>
      <c r="G749" s="10"/>
      <c r="H749" s="10"/>
      <c r="I749" s="10"/>
      <c r="J749" s="11"/>
      <c r="K749" s="10"/>
      <c r="L749" s="12"/>
    </row>
    <row r="750" spans="1:12" ht="14.25" customHeight="1" x14ac:dyDescent="0.25">
      <c r="A750" s="10"/>
      <c r="C750" s="10"/>
      <c r="F750" s="8"/>
      <c r="G750" s="10"/>
      <c r="H750" s="10"/>
      <c r="I750" s="10"/>
      <c r="J750" s="11"/>
      <c r="K750" s="10"/>
      <c r="L750" s="12"/>
    </row>
    <row r="751" spans="1:12" ht="14.25" customHeight="1" x14ac:dyDescent="0.25">
      <c r="A751" s="10"/>
      <c r="C751" s="10"/>
      <c r="F751" s="8"/>
      <c r="G751" s="10"/>
      <c r="H751" s="10"/>
      <c r="I751" s="10"/>
      <c r="J751" s="11"/>
      <c r="K751" s="10"/>
      <c r="L751" s="12"/>
    </row>
    <row r="752" spans="1:12" ht="14.25" customHeight="1" x14ac:dyDescent="0.25">
      <c r="A752" s="10"/>
      <c r="C752" s="10"/>
      <c r="F752" s="8"/>
      <c r="G752" s="10"/>
      <c r="H752" s="10"/>
      <c r="I752" s="10"/>
      <c r="J752" s="11"/>
      <c r="K752" s="10"/>
      <c r="L752" s="12"/>
    </row>
    <row r="753" spans="1:12" ht="14.25" customHeight="1" x14ac:dyDescent="0.25">
      <c r="A753" s="10"/>
      <c r="C753" s="10"/>
      <c r="F753" s="8"/>
      <c r="G753" s="10"/>
      <c r="H753" s="10"/>
      <c r="I753" s="10"/>
      <c r="J753" s="11"/>
      <c r="K753" s="10"/>
      <c r="L753" s="12"/>
    </row>
    <row r="754" spans="1:12" ht="14.25" customHeight="1" x14ac:dyDescent="0.25">
      <c r="A754" s="10"/>
      <c r="C754" s="10"/>
      <c r="F754" s="8"/>
      <c r="G754" s="10"/>
      <c r="H754" s="10"/>
      <c r="I754" s="10"/>
      <c r="J754" s="11"/>
      <c r="K754" s="10"/>
      <c r="L754" s="12"/>
    </row>
    <row r="755" spans="1:12" ht="14.25" customHeight="1" x14ac:dyDescent="0.25">
      <c r="A755" s="10"/>
      <c r="C755" s="10"/>
      <c r="F755" s="8"/>
      <c r="G755" s="10"/>
      <c r="H755" s="10"/>
      <c r="I755" s="10"/>
      <c r="J755" s="11"/>
      <c r="K755" s="10"/>
      <c r="L755" s="12"/>
    </row>
    <row r="756" spans="1:12" ht="14.25" customHeight="1" x14ac:dyDescent="0.25">
      <c r="A756" s="10"/>
      <c r="C756" s="10"/>
      <c r="F756" s="8"/>
      <c r="G756" s="10"/>
      <c r="H756" s="10"/>
      <c r="I756" s="10"/>
      <c r="J756" s="11"/>
      <c r="K756" s="10"/>
      <c r="L756" s="12"/>
    </row>
    <row r="757" spans="1:12" ht="14.25" customHeight="1" x14ac:dyDescent="0.25">
      <c r="A757" s="10"/>
      <c r="C757" s="10"/>
      <c r="F757" s="8"/>
      <c r="G757" s="10"/>
      <c r="H757" s="10"/>
      <c r="I757" s="10"/>
      <c r="J757" s="11"/>
      <c r="K757" s="10"/>
      <c r="L757" s="12"/>
    </row>
    <row r="758" spans="1:12" ht="14.25" customHeight="1" x14ac:dyDescent="0.25">
      <c r="A758" s="10"/>
      <c r="C758" s="10"/>
      <c r="F758" s="8"/>
      <c r="G758" s="10"/>
      <c r="H758" s="10"/>
      <c r="I758" s="10"/>
      <c r="J758" s="11"/>
      <c r="K758" s="10"/>
      <c r="L758" s="12"/>
    </row>
    <row r="759" spans="1:12" ht="14.25" customHeight="1" x14ac:dyDescent="0.25">
      <c r="A759" s="10"/>
      <c r="C759" s="10"/>
      <c r="F759" s="8"/>
      <c r="G759" s="10"/>
      <c r="H759" s="10"/>
      <c r="I759" s="10"/>
      <c r="J759" s="11"/>
      <c r="K759" s="10"/>
      <c r="L759" s="12"/>
    </row>
    <row r="760" spans="1:12" ht="14.25" customHeight="1" x14ac:dyDescent="0.25">
      <c r="A760" s="10"/>
      <c r="C760" s="10"/>
      <c r="F760" s="8"/>
      <c r="G760" s="10"/>
      <c r="H760" s="10"/>
      <c r="I760" s="10"/>
      <c r="J760" s="11"/>
      <c r="K760" s="10"/>
      <c r="L760" s="12"/>
    </row>
    <row r="761" spans="1:12" ht="14.25" customHeight="1" x14ac:dyDescent="0.25">
      <c r="A761" s="10"/>
      <c r="C761" s="10"/>
      <c r="F761" s="8"/>
      <c r="G761" s="10"/>
      <c r="H761" s="10"/>
      <c r="I761" s="10"/>
      <c r="J761" s="11"/>
      <c r="K761" s="10"/>
      <c r="L761" s="12"/>
    </row>
    <row r="762" spans="1:12" ht="14.25" customHeight="1" x14ac:dyDescent="0.25">
      <c r="A762" s="10"/>
      <c r="C762" s="10"/>
      <c r="F762" s="8"/>
      <c r="G762" s="10"/>
      <c r="H762" s="10"/>
      <c r="I762" s="10"/>
      <c r="J762" s="11"/>
      <c r="K762" s="10"/>
      <c r="L762" s="12"/>
    </row>
    <row r="763" spans="1:12" ht="14.25" customHeight="1" x14ac:dyDescent="0.25">
      <c r="A763" s="10"/>
      <c r="C763" s="10"/>
      <c r="F763" s="8"/>
      <c r="G763" s="10"/>
      <c r="H763" s="10"/>
      <c r="I763" s="10"/>
      <c r="J763" s="11"/>
      <c r="K763" s="10"/>
      <c r="L763" s="12"/>
    </row>
    <row r="764" spans="1:12" ht="14.25" customHeight="1" x14ac:dyDescent="0.25">
      <c r="A764" s="10"/>
      <c r="C764" s="10"/>
      <c r="F764" s="8"/>
      <c r="G764" s="10"/>
      <c r="H764" s="10"/>
      <c r="I764" s="10"/>
      <c r="J764" s="11"/>
      <c r="K764" s="10"/>
      <c r="L764" s="12"/>
    </row>
    <row r="765" spans="1:12" ht="14.25" customHeight="1" x14ac:dyDescent="0.25">
      <c r="A765" s="10"/>
      <c r="C765" s="10"/>
      <c r="F765" s="8"/>
      <c r="G765" s="10"/>
      <c r="H765" s="10"/>
      <c r="I765" s="10"/>
      <c r="J765" s="11"/>
      <c r="K765" s="10"/>
      <c r="L765" s="12"/>
    </row>
    <row r="766" spans="1:12" ht="14.25" customHeight="1" x14ac:dyDescent="0.25">
      <c r="A766" s="10"/>
      <c r="C766" s="10"/>
      <c r="F766" s="8"/>
      <c r="G766" s="10"/>
      <c r="H766" s="10"/>
      <c r="I766" s="10"/>
      <c r="J766" s="11"/>
      <c r="K766" s="10"/>
      <c r="L766" s="12"/>
    </row>
    <row r="767" spans="1:12" ht="14.25" customHeight="1" x14ac:dyDescent="0.25">
      <c r="A767" s="10"/>
      <c r="C767" s="10"/>
      <c r="F767" s="8"/>
      <c r="G767" s="10"/>
      <c r="H767" s="10"/>
      <c r="I767" s="10"/>
      <c r="J767" s="11"/>
      <c r="K767" s="10"/>
      <c r="L767" s="12"/>
    </row>
    <row r="768" spans="1:12" ht="14.25" customHeight="1" x14ac:dyDescent="0.25">
      <c r="A768" s="10"/>
      <c r="C768" s="10"/>
      <c r="F768" s="8"/>
      <c r="G768" s="10"/>
      <c r="H768" s="10"/>
      <c r="I768" s="10"/>
      <c r="J768" s="11"/>
      <c r="K768" s="10"/>
      <c r="L768" s="12"/>
    </row>
    <row r="769" spans="1:12" ht="14.25" customHeight="1" x14ac:dyDescent="0.25">
      <c r="A769" s="10"/>
      <c r="C769" s="10"/>
      <c r="F769" s="8"/>
      <c r="G769" s="10"/>
      <c r="H769" s="10"/>
      <c r="I769" s="10"/>
      <c r="J769" s="11"/>
      <c r="K769" s="10"/>
      <c r="L769" s="12"/>
    </row>
    <row r="770" spans="1:12" ht="14.25" customHeight="1" x14ac:dyDescent="0.25">
      <c r="A770" s="10"/>
      <c r="C770" s="10"/>
      <c r="F770" s="8"/>
      <c r="G770" s="10"/>
      <c r="H770" s="10"/>
      <c r="I770" s="10"/>
      <c r="J770" s="11"/>
      <c r="K770" s="10"/>
      <c r="L770" s="12"/>
    </row>
    <row r="771" spans="1:12" ht="14.25" customHeight="1" x14ac:dyDescent="0.25">
      <c r="A771" s="10"/>
      <c r="C771" s="10"/>
      <c r="F771" s="8"/>
      <c r="G771" s="10"/>
      <c r="H771" s="10"/>
      <c r="I771" s="10"/>
      <c r="J771" s="11"/>
      <c r="K771" s="10"/>
      <c r="L771" s="12"/>
    </row>
    <row r="772" spans="1:12" ht="14.25" customHeight="1" x14ac:dyDescent="0.25">
      <c r="A772" s="10"/>
      <c r="C772" s="10"/>
      <c r="F772" s="8"/>
      <c r="G772" s="10"/>
      <c r="H772" s="10"/>
      <c r="I772" s="10"/>
      <c r="J772" s="11"/>
      <c r="K772" s="10"/>
      <c r="L772" s="12"/>
    </row>
    <row r="773" spans="1:12" ht="14.25" customHeight="1" x14ac:dyDescent="0.25">
      <c r="A773" s="10"/>
      <c r="C773" s="10"/>
      <c r="F773" s="8"/>
      <c r="G773" s="10"/>
      <c r="H773" s="10"/>
      <c r="I773" s="10"/>
      <c r="J773" s="11"/>
      <c r="K773" s="10"/>
      <c r="L773" s="12"/>
    </row>
    <row r="774" spans="1:12" ht="14.25" customHeight="1" x14ac:dyDescent="0.25">
      <c r="A774" s="10"/>
      <c r="C774" s="10"/>
      <c r="F774" s="8"/>
      <c r="G774" s="10"/>
      <c r="H774" s="10"/>
      <c r="I774" s="10"/>
      <c r="J774" s="11"/>
      <c r="K774" s="10"/>
      <c r="L774" s="12"/>
    </row>
    <row r="775" spans="1:12" ht="14.25" customHeight="1" x14ac:dyDescent="0.25">
      <c r="A775" s="10"/>
      <c r="C775" s="10"/>
      <c r="F775" s="8"/>
      <c r="G775" s="10"/>
      <c r="H775" s="10"/>
      <c r="I775" s="10"/>
      <c r="J775" s="11"/>
      <c r="K775" s="10"/>
      <c r="L775" s="12"/>
    </row>
    <row r="776" spans="1:12" ht="14.25" customHeight="1" x14ac:dyDescent="0.25">
      <c r="A776" s="10"/>
      <c r="C776" s="10"/>
      <c r="F776" s="8"/>
      <c r="G776" s="10"/>
      <c r="H776" s="10"/>
      <c r="I776" s="10"/>
      <c r="J776" s="11"/>
      <c r="K776" s="10"/>
      <c r="L776" s="12"/>
    </row>
    <row r="777" spans="1:12" ht="14.25" customHeight="1" x14ac:dyDescent="0.25">
      <c r="A777" s="10"/>
      <c r="C777" s="10"/>
      <c r="F777" s="8"/>
      <c r="G777" s="10"/>
      <c r="H777" s="10"/>
      <c r="I777" s="10"/>
      <c r="J777" s="11"/>
      <c r="K777" s="10"/>
      <c r="L777" s="12"/>
    </row>
    <row r="778" spans="1:12" ht="14.25" customHeight="1" x14ac:dyDescent="0.25">
      <c r="A778" s="10"/>
      <c r="C778" s="10"/>
      <c r="F778" s="8"/>
      <c r="G778" s="10"/>
      <c r="H778" s="10"/>
      <c r="I778" s="10"/>
      <c r="J778" s="11"/>
      <c r="K778" s="10"/>
      <c r="L778" s="12"/>
    </row>
    <row r="779" spans="1:12" ht="14.25" customHeight="1" x14ac:dyDescent="0.25">
      <c r="A779" s="10"/>
      <c r="C779" s="10"/>
      <c r="F779" s="8"/>
      <c r="G779" s="10"/>
      <c r="H779" s="10"/>
      <c r="I779" s="10"/>
      <c r="J779" s="11"/>
      <c r="K779" s="10"/>
      <c r="L779" s="12"/>
    </row>
    <row r="780" spans="1:12" ht="14.25" customHeight="1" x14ac:dyDescent="0.25">
      <c r="A780" s="10"/>
      <c r="C780" s="10"/>
      <c r="F780" s="8"/>
      <c r="G780" s="10"/>
      <c r="H780" s="10"/>
      <c r="I780" s="10"/>
      <c r="J780" s="11"/>
      <c r="K780" s="10"/>
      <c r="L780" s="12"/>
    </row>
    <row r="781" spans="1:12" ht="14.25" customHeight="1" x14ac:dyDescent="0.25">
      <c r="A781" s="10"/>
      <c r="C781" s="10"/>
      <c r="F781" s="8"/>
      <c r="G781" s="10"/>
      <c r="H781" s="10"/>
      <c r="I781" s="10"/>
      <c r="J781" s="11"/>
      <c r="K781" s="10"/>
      <c r="L781" s="12"/>
    </row>
    <row r="782" spans="1:12" ht="14.25" customHeight="1" x14ac:dyDescent="0.25">
      <c r="A782" s="10"/>
      <c r="C782" s="10"/>
      <c r="F782" s="8"/>
      <c r="G782" s="10"/>
      <c r="H782" s="10"/>
      <c r="I782" s="10"/>
      <c r="J782" s="11"/>
      <c r="K782" s="10"/>
      <c r="L782" s="12"/>
    </row>
    <row r="783" spans="1:12" ht="14.25" customHeight="1" x14ac:dyDescent="0.25">
      <c r="A783" s="10"/>
      <c r="C783" s="10"/>
      <c r="F783" s="8"/>
      <c r="G783" s="10"/>
      <c r="H783" s="10"/>
      <c r="I783" s="10"/>
      <c r="J783" s="11"/>
      <c r="K783" s="10"/>
      <c r="L783" s="12"/>
    </row>
    <row r="784" spans="1:12" ht="14.25" customHeight="1" x14ac:dyDescent="0.25">
      <c r="A784" s="10"/>
      <c r="C784" s="10"/>
      <c r="F784" s="8"/>
      <c r="G784" s="10"/>
      <c r="H784" s="10"/>
      <c r="I784" s="10"/>
      <c r="J784" s="11"/>
      <c r="K784" s="10"/>
      <c r="L784" s="12"/>
    </row>
    <row r="785" spans="1:12" ht="14.25" customHeight="1" x14ac:dyDescent="0.25">
      <c r="A785" s="10"/>
      <c r="C785" s="10"/>
      <c r="F785" s="8"/>
      <c r="G785" s="10"/>
      <c r="H785" s="10"/>
      <c r="I785" s="10"/>
      <c r="J785" s="11"/>
      <c r="K785" s="10"/>
      <c r="L785" s="12"/>
    </row>
    <row r="786" spans="1:12" ht="14.25" customHeight="1" x14ac:dyDescent="0.25">
      <c r="A786" s="10"/>
      <c r="C786" s="10"/>
      <c r="F786" s="8"/>
      <c r="G786" s="10"/>
      <c r="H786" s="10"/>
      <c r="I786" s="10"/>
      <c r="J786" s="11"/>
      <c r="K786" s="10"/>
      <c r="L786" s="12"/>
    </row>
    <row r="787" spans="1:12" ht="14.25" customHeight="1" x14ac:dyDescent="0.25">
      <c r="A787" s="10"/>
      <c r="C787" s="10"/>
      <c r="F787" s="8"/>
      <c r="G787" s="10"/>
      <c r="H787" s="10"/>
      <c r="I787" s="10"/>
      <c r="J787" s="11"/>
      <c r="K787" s="10"/>
      <c r="L787" s="12"/>
    </row>
    <row r="788" spans="1:12" ht="14.25" customHeight="1" x14ac:dyDescent="0.25">
      <c r="A788" s="10"/>
      <c r="C788" s="10"/>
      <c r="F788" s="8"/>
      <c r="G788" s="10"/>
      <c r="H788" s="10"/>
      <c r="I788" s="10"/>
      <c r="J788" s="11"/>
      <c r="K788" s="10"/>
      <c r="L788" s="12"/>
    </row>
    <row r="789" spans="1:12" ht="14.25" customHeight="1" x14ac:dyDescent="0.25">
      <c r="A789" s="10"/>
      <c r="C789" s="10"/>
      <c r="F789" s="8"/>
      <c r="G789" s="10"/>
      <c r="H789" s="10"/>
      <c r="I789" s="10"/>
      <c r="J789" s="11"/>
      <c r="K789" s="10"/>
      <c r="L789" s="12"/>
    </row>
    <row r="790" spans="1:12" ht="14.25" customHeight="1" x14ac:dyDescent="0.25">
      <c r="A790" s="10"/>
      <c r="C790" s="10"/>
      <c r="F790" s="8"/>
      <c r="G790" s="10"/>
      <c r="H790" s="10"/>
      <c r="I790" s="10"/>
      <c r="J790" s="11"/>
      <c r="K790" s="10"/>
      <c r="L790" s="12"/>
    </row>
    <row r="791" spans="1:12" ht="14.25" customHeight="1" x14ac:dyDescent="0.25">
      <c r="A791" s="10"/>
      <c r="C791" s="10"/>
      <c r="F791" s="8"/>
      <c r="G791" s="10"/>
      <c r="H791" s="10"/>
      <c r="I791" s="10"/>
      <c r="J791" s="11"/>
      <c r="K791" s="10"/>
      <c r="L791" s="12"/>
    </row>
    <row r="792" spans="1:12" ht="14.25" customHeight="1" x14ac:dyDescent="0.25">
      <c r="A792" s="10"/>
      <c r="C792" s="10"/>
      <c r="F792" s="8"/>
      <c r="G792" s="10"/>
      <c r="H792" s="10"/>
      <c r="I792" s="10"/>
      <c r="J792" s="11"/>
      <c r="K792" s="10"/>
      <c r="L792" s="12"/>
    </row>
    <row r="793" spans="1:12" ht="14.25" customHeight="1" x14ac:dyDescent="0.25">
      <c r="A793" s="10"/>
      <c r="C793" s="10"/>
      <c r="F793" s="8"/>
      <c r="G793" s="10"/>
      <c r="H793" s="10"/>
      <c r="I793" s="10"/>
      <c r="J793" s="11"/>
      <c r="K793" s="10"/>
      <c r="L793" s="12"/>
    </row>
    <row r="794" spans="1:12" ht="14.25" customHeight="1" x14ac:dyDescent="0.25">
      <c r="A794" s="10"/>
      <c r="C794" s="10"/>
      <c r="F794" s="8"/>
      <c r="G794" s="10"/>
      <c r="H794" s="10"/>
      <c r="I794" s="10"/>
      <c r="J794" s="11"/>
      <c r="K794" s="10"/>
      <c r="L794" s="12"/>
    </row>
    <row r="795" spans="1:12" ht="14.25" customHeight="1" x14ac:dyDescent="0.25">
      <c r="A795" s="10"/>
      <c r="C795" s="10"/>
      <c r="F795" s="8"/>
      <c r="G795" s="10"/>
      <c r="H795" s="10"/>
      <c r="I795" s="10"/>
      <c r="J795" s="11"/>
      <c r="K795" s="10"/>
      <c r="L795" s="12"/>
    </row>
    <row r="796" spans="1:12" ht="14.25" customHeight="1" x14ac:dyDescent="0.25">
      <c r="A796" s="10"/>
      <c r="C796" s="10"/>
      <c r="F796" s="8"/>
      <c r="G796" s="10"/>
      <c r="H796" s="10"/>
      <c r="I796" s="10"/>
      <c r="J796" s="11"/>
      <c r="K796" s="10"/>
      <c r="L796" s="12"/>
    </row>
    <row r="797" spans="1:12" ht="14.25" customHeight="1" x14ac:dyDescent="0.25">
      <c r="A797" s="10"/>
      <c r="C797" s="10"/>
      <c r="F797" s="8"/>
      <c r="G797" s="10"/>
      <c r="H797" s="10"/>
      <c r="I797" s="10"/>
      <c r="J797" s="11"/>
      <c r="K797" s="10"/>
      <c r="L797" s="12"/>
    </row>
    <row r="798" spans="1:12" ht="14.25" customHeight="1" x14ac:dyDescent="0.25">
      <c r="A798" s="10"/>
      <c r="C798" s="10"/>
      <c r="F798" s="8"/>
      <c r="G798" s="10"/>
      <c r="H798" s="10"/>
      <c r="I798" s="10"/>
      <c r="J798" s="11"/>
      <c r="K798" s="10"/>
      <c r="L798" s="12"/>
    </row>
    <row r="799" spans="1:12" ht="14.25" customHeight="1" x14ac:dyDescent="0.25">
      <c r="A799" s="10"/>
      <c r="C799" s="10"/>
      <c r="F799" s="8"/>
      <c r="G799" s="10"/>
      <c r="H799" s="10"/>
      <c r="I799" s="10"/>
      <c r="J799" s="11"/>
      <c r="K799" s="10"/>
      <c r="L799" s="12"/>
    </row>
    <row r="800" spans="1:12" ht="14.25" customHeight="1" x14ac:dyDescent="0.25">
      <c r="A800" s="10"/>
      <c r="C800" s="10"/>
      <c r="F800" s="8"/>
      <c r="G800" s="10"/>
      <c r="H800" s="10"/>
      <c r="I800" s="10"/>
      <c r="J800" s="11"/>
      <c r="K800" s="10"/>
      <c r="L800" s="12"/>
    </row>
    <row r="801" spans="1:12" ht="14.25" customHeight="1" x14ac:dyDescent="0.25">
      <c r="A801" s="10"/>
      <c r="C801" s="10"/>
      <c r="F801" s="8"/>
      <c r="G801" s="10"/>
      <c r="H801" s="10"/>
      <c r="I801" s="10"/>
      <c r="J801" s="11"/>
      <c r="K801" s="10"/>
      <c r="L801" s="12"/>
    </row>
    <row r="802" spans="1:12" ht="14.25" customHeight="1" x14ac:dyDescent="0.25">
      <c r="A802" s="10"/>
      <c r="C802" s="10"/>
      <c r="F802" s="8"/>
      <c r="G802" s="10"/>
      <c r="H802" s="10"/>
      <c r="I802" s="10"/>
      <c r="J802" s="11"/>
      <c r="K802" s="10"/>
      <c r="L802" s="12"/>
    </row>
    <row r="803" spans="1:12" ht="14.25" customHeight="1" x14ac:dyDescent="0.25">
      <c r="A803" s="10"/>
      <c r="C803" s="10"/>
      <c r="F803" s="8"/>
      <c r="G803" s="10"/>
      <c r="H803" s="10"/>
      <c r="I803" s="10"/>
      <c r="J803" s="11"/>
      <c r="K803" s="10"/>
      <c r="L803" s="12"/>
    </row>
    <row r="804" spans="1:12" ht="14.25" customHeight="1" x14ac:dyDescent="0.25">
      <c r="A804" s="10"/>
      <c r="C804" s="10"/>
      <c r="F804" s="8"/>
      <c r="G804" s="10"/>
      <c r="H804" s="10"/>
      <c r="I804" s="10"/>
      <c r="J804" s="11"/>
      <c r="K804" s="10"/>
      <c r="L804" s="12"/>
    </row>
    <row r="805" spans="1:12" ht="14.25" customHeight="1" x14ac:dyDescent="0.25">
      <c r="A805" s="10"/>
      <c r="C805" s="10"/>
      <c r="F805" s="8"/>
      <c r="G805" s="10"/>
      <c r="H805" s="10"/>
      <c r="I805" s="10"/>
      <c r="J805" s="11"/>
      <c r="K805" s="10"/>
      <c r="L805" s="12"/>
    </row>
    <row r="806" spans="1:12" ht="14.25" customHeight="1" x14ac:dyDescent="0.25">
      <c r="A806" s="10"/>
      <c r="C806" s="10"/>
      <c r="F806" s="8"/>
      <c r="G806" s="10"/>
      <c r="H806" s="10"/>
      <c r="I806" s="10"/>
      <c r="J806" s="11"/>
      <c r="K806" s="10"/>
      <c r="L806" s="12"/>
    </row>
    <row r="807" spans="1:12" ht="14.25" customHeight="1" x14ac:dyDescent="0.25">
      <c r="A807" s="10"/>
      <c r="C807" s="10"/>
      <c r="F807" s="8"/>
      <c r="G807" s="10"/>
      <c r="H807" s="10"/>
      <c r="I807" s="10"/>
      <c r="J807" s="11"/>
      <c r="K807" s="10"/>
      <c r="L807" s="12"/>
    </row>
    <row r="808" spans="1:12" ht="14.25" customHeight="1" x14ac:dyDescent="0.25">
      <c r="A808" s="10"/>
      <c r="C808" s="10"/>
      <c r="F808" s="8"/>
      <c r="G808" s="10"/>
      <c r="H808" s="10"/>
      <c r="I808" s="10"/>
      <c r="J808" s="11"/>
      <c r="K808" s="10"/>
      <c r="L808" s="12"/>
    </row>
    <row r="809" spans="1:12" ht="14.25" customHeight="1" x14ac:dyDescent="0.25">
      <c r="A809" s="10"/>
      <c r="C809" s="10"/>
      <c r="F809" s="8"/>
      <c r="G809" s="10"/>
      <c r="H809" s="10"/>
      <c r="I809" s="10"/>
      <c r="J809" s="11"/>
      <c r="K809" s="10"/>
      <c r="L809" s="12"/>
    </row>
    <row r="810" spans="1:12" ht="14.25" customHeight="1" x14ac:dyDescent="0.25">
      <c r="A810" s="10"/>
      <c r="C810" s="10"/>
      <c r="F810" s="8"/>
      <c r="G810" s="10"/>
      <c r="H810" s="10"/>
      <c r="I810" s="10"/>
      <c r="J810" s="11"/>
      <c r="K810" s="10"/>
      <c r="L810" s="12"/>
    </row>
    <row r="811" spans="1:12" ht="14.25" customHeight="1" x14ac:dyDescent="0.25">
      <c r="A811" s="10"/>
      <c r="C811" s="10"/>
      <c r="F811" s="8"/>
      <c r="G811" s="10"/>
      <c r="H811" s="10"/>
      <c r="I811" s="10"/>
      <c r="J811" s="11"/>
      <c r="K811" s="10"/>
      <c r="L811" s="12"/>
    </row>
    <row r="812" spans="1:12" ht="14.25" customHeight="1" x14ac:dyDescent="0.25">
      <c r="A812" s="10"/>
      <c r="C812" s="10"/>
      <c r="F812" s="8"/>
      <c r="G812" s="10"/>
      <c r="H812" s="10"/>
      <c r="I812" s="10"/>
      <c r="J812" s="11"/>
      <c r="K812" s="10"/>
      <c r="L812" s="12"/>
    </row>
    <row r="813" spans="1:12" ht="14.25" customHeight="1" x14ac:dyDescent="0.25">
      <c r="A813" s="10"/>
      <c r="C813" s="10"/>
      <c r="F813" s="8"/>
      <c r="G813" s="10"/>
      <c r="H813" s="10"/>
      <c r="I813" s="10"/>
      <c r="J813" s="11"/>
      <c r="K813" s="10"/>
      <c r="L813" s="12"/>
    </row>
    <row r="814" spans="1:12" ht="14.25" customHeight="1" x14ac:dyDescent="0.25">
      <c r="A814" s="10"/>
      <c r="C814" s="10"/>
      <c r="F814" s="8"/>
      <c r="G814" s="10"/>
      <c r="H814" s="10"/>
      <c r="I814" s="10"/>
      <c r="J814" s="11"/>
      <c r="K814" s="10"/>
      <c r="L814" s="12"/>
    </row>
    <row r="815" spans="1:12" ht="14.25" customHeight="1" x14ac:dyDescent="0.25">
      <c r="A815" s="10"/>
      <c r="C815" s="10"/>
      <c r="F815" s="8"/>
      <c r="G815" s="10"/>
      <c r="H815" s="10"/>
      <c r="I815" s="10"/>
      <c r="J815" s="11"/>
      <c r="K815" s="10"/>
      <c r="L815" s="12"/>
    </row>
    <row r="816" spans="1:12" ht="14.25" customHeight="1" x14ac:dyDescent="0.25">
      <c r="A816" s="10"/>
      <c r="C816" s="10"/>
      <c r="F816" s="8"/>
      <c r="G816" s="10"/>
      <c r="H816" s="10"/>
      <c r="I816" s="10"/>
      <c r="J816" s="11"/>
      <c r="K816" s="10"/>
      <c r="L816" s="12"/>
    </row>
    <row r="817" spans="1:12" ht="14.25" customHeight="1" x14ac:dyDescent="0.25">
      <c r="A817" s="10"/>
      <c r="C817" s="10"/>
      <c r="F817" s="8"/>
      <c r="G817" s="10"/>
      <c r="H817" s="10"/>
      <c r="I817" s="10"/>
      <c r="J817" s="11"/>
      <c r="K817" s="10"/>
      <c r="L817" s="12"/>
    </row>
    <row r="818" spans="1:12" ht="14.25" customHeight="1" x14ac:dyDescent="0.25">
      <c r="A818" s="10"/>
      <c r="C818" s="10"/>
      <c r="F818" s="8"/>
      <c r="G818" s="10"/>
      <c r="H818" s="10"/>
      <c r="I818" s="10"/>
      <c r="J818" s="11"/>
      <c r="K818" s="10"/>
      <c r="L818" s="12"/>
    </row>
    <row r="819" spans="1:12" ht="14.25" customHeight="1" x14ac:dyDescent="0.25">
      <c r="A819" s="10"/>
      <c r="C819" s="10"/>
      <c r="F819" s="8"/>
      <c r="G819" s="10"/>
      <c r="H819" s="10"/>
      <c r="I819" s="10"/>
      <c r="J819" s="11"/>
      <c r="K819" s="10"/>
      <c r="L819" s="12"/>
    </row>
    <row r="820" spans="1:12" ht="14.25" customHeight="1" x14ac:dyDescent="0.25">
      <c r="A820" s="10"/>
      <c r="C820" s="10"/>
      <c r="F820" s="8"/>
      <c r="G820" s="10"/>
      <c r="H820" s="10"/>
      <c r="I820" s="10"/>
      <c r="J820" s="11"/>
      <c r="K820" s="10"/>
      <c r="L820" s="12"/>
    </row>
    <row r="821" spans="1:12" ht="14.25" customHeight="1" x14ac:dyDescent="0.25">
      <c r="A821" s="10"/>
      <c r="C821" s="10"/>
      <c r="F821" s="8"/>
      <c r="G821" s="10"/>
      <c r="H821" s="10"/>
      <c r="I821" s="10"/>
      <c r="J821" s="11"/>
      <c r="K821" s="10"/>
      <c r="L821" s="12"/>
    </row>
    <row r="822" spans="1:12" ht="14.25" customHeight="1" x14ac:dyDescent="0.25">
      <c r="A822" s="10"/>
      <c r="C822" s="10"/>
      <c r="F822" s="8"/>
      <c r="G822" s="10"/>
      <c r="H822" s="10"/>
      <c r="I822" s="10"/>
      <c r="J822" s="11"/>
      <c r="K822" s="10"/>
      <c r="L822" s="12"/>
    </row>
    <row r="823" spans="1:12" ht="14.25" customHeight="1" x14ac:dyDescent="0.25">
      <c r="A823" s="10"/>
      <c r="C823" s="10"/>
      <c r="F823" s="8"/>
      <c r="G823" s="10"/>
      <c r="H823" s="10"/>
      <c r="I823" s="10"/>
      <c r="J823" s="11"/>
      <c r="K823" s="10"/>
      <c r="L823" s="12"/>
    </row>
    <row r="824" spans="1:12" ht="14.25" customHeight="1" x14ac:dyDescent="0.25">
      <c r="A824" s="10"/>
      <c r="C824" s="10"/>
      <c r="F824" s="8"/>
      <c r="G824" s="10"/>
      <c r="H824" s="10"/>
      <c r="I824" s="10"/>
      <c r="J824" s="11"/>
      <c r="K824" s="10"/>
      <c r="L824" s="12"/>
    </row>
    <row r="825" spans="1:12" ht="14.25" customHeight="1" x14ac:dyDescent="0.25">
      <c r="A825" s="10"/>
      <c r="C825" s="10"/>
      <c r="F825" s="8"/>
      <c r="G825" s="10"/>
      <c r="H825" s="10"/>
      <c r="I825" s="10"/>
      <c r="J825" s="11"/>
      <c r="K825" s="10"/>
      <c r="L825" s="12"/>
    </row>
    <row r="826" spans="1:12" ht="14.25" customHeight="1" x14ac:dyDescent="0.25">
      <c r="A826" s="10"/>
      <c r="C826" s="10"/>
      <c r="F826" s="8"/>
      <c r="G826" s="10"/>
      <c r="H826" s="10"/>
      <c r="I826" s="10"/>
      <c r="J826" s="11"/>
      <c r="K826" s="10"/>
      <c r="L826" s="12"/>
    </row>
    <row r="827" spans="1:12" ht="14.25" customHeight="1" x14ac:dyDescent="0.25">
      <c r="A827" s="10"/>
      <c r="C827" s="10"/>
      <c r="F827" s="8"/>
      <c r="G827" s="10"/>
      <c r="H827" s="10"/>
      <c r="I827" s="10"/>
      <c r="J827" s="11"/>
      <c r="K827" s="10"/>
      <c r="L827" s="12"/>
    </row>
    <row r="828" spans="1:12" ht="14.25" customHeight="1" x14ac:dyDescent="0.25">
      <c r="A828" s="10"/>
      <c r="C828" s="10"/>
      <c r="F828" s="8"/>
      <c r="G828" s="10"/>
      <c r="H828" s="10"/>
      <c r="I828" s="10"/>
      <c r="J828" s="11"/>
      <c r="K828" s="10"/>
      <c r="L828" s="12"/>
    </row>
    <row r="829" spans="1:12" ht="14.25" customHeight="1" x14ac:dyDescent="0.25">
      <c r="A829" s="10"/>
      <c r="C829" s="10"/>
      <c r="F829" s="8"/>
      <c r="G829" s="10"/>
      <c r="H829" s="10"/>
      <c r="I829" s="10"/>
      <c r="J829" s="11"/>
      <c r="K829" s="10"/>
      <c r="L829" s="12"/>
    </row>
    <row r="830" spans="1:12" ht="14.25" customHeight="1" x14ac:dyDescent="0.25">
      <c r="A830" s="10"/>
      <c r="C830" s="10"/>
      <c r="F830" s="8"/>
      <c r="G830" s="10"/>
      <c r="H830" s="10"/>
      <c r="I830" s="10"/>
      <c r="J830" s="11"/>
      <c r="K830" s="10"/>
      <c r="L830" s="12"/>
    </row>
    <row r="831" spans="1:12" ht="14.25" customHeight="1" x14ac:dyDescent="0.25">
      <c r="A831" s="10"/>
      <c r="C831" s="10"/>
      <c r="F831" s="8"/>
      <c r="G831" s="10"/>
      <c r="H831" s="10"/>
      <c r="I831" s="10"/>
      <c r="J831" s="11"/>
      <c r="K831" s="10"/>
      <c r="L831" s="12"/>
    </row>
    <row r="832" spans="1:12" ht="14.25" customHeight="1" x14ac:dyDescent="0.25">
      <c r="A832" s="10"/>
      <c r="C832" s="10"/>
      <c r="F832" s="8"/>
      <c r="G832" s="10"/>
      <c r="H832" s="10"/>
      <c r="I832" s="10"/>
      <c r="J832" s="11"/>
      <c r="K832" s="10"/>
      <c r="L832" s="12"/>
    </row>
    <row r="833" spans="1:12" ht="14.25" customHeight="1" x14ac:dyDescent="0.25">
      <c r="A833" s="10"/>
      <c r="C833" s="10"/>
      <c r="F833" s="8"/>
      <c r="G833" s="10"/>
      <c r="H833" s="10"/>
      <c r="I833" s="10"/>
      <c r="J833" s="11"/>
      <c r="K833" s="10"/>
      <c r="L833" s="12"/>
    </row>
    <row r="834" spans="1:12" ht="14.25" customHeight="1" x14ac:dyDescent="0.25">
      <c r="A834" s="10"/>
      <c r="C834" s="10"/>
      <c r="F834" s="8"/>
      <c r="G834" s="10"/>
      <c r="H834" s="10"/>
      <c r="I834" s="10"/>
      <c r="J834" s="11"/>
      <c r="K834" s="10"/>
      <c r="L834" s="12"/>
    </row>
    <row r="835" spans="1:12" ht="14.25" customHeight="1" x14ac:dyDescent="0.25">
      <c r="A835" s="10"/>
      <c r="C835" s="10"/>
      <c r="F835" s="8"/>
      <c r="G835" s="10"/>
      <c r="H835" s="10"/>
      <c r="I835" s="10"/>
      <c r="J835" s="11"/>
      <c r="K835" s="10"/>
      <c r="L835" s="12"/>
    </row>
    <row r="836" spans="1:12" ht="14.25" customHeight="1" x14ac:dyDescent="0.25">
      <c r="A836" s="10"/>
      <c r="C836" s="10"/>
      <c r="F836" s="8"/>
      <c r="G836" s="10"/>
      <c r="H836" s="10"/>
      <c r="I836" s="10"/>
      <c r="J836" s="11"/>
      <c r="K836" s="10"/>
      <c r="L836" s="12"/>
    </row>
    <row r="837" spans="1:12" ht="14.25" customHeight="1" x14ac:dyDescent="0.25">
      <c r="A837" s="10"/>
      <c r="C837" s="10"/>
      <c r="F837" s="8"/>
      <c r="G837" s="10"/>
      <c r="H837" s="10"/>
      <c r="I837" s="10"/>
      <c r="J837" s="11"/>
      <c r="K837" s="10"/>
      <c r="L837" s="12"/>
    </row>
    <row r="838" spans="1:12" ht="14.25" customHeight="1" x14ac:dyDescent="0.25">
      <c r="A838" s="10"/>
      <c r="C838" s="10"/>
      <c r="F838" s="8"/>
      <c r="G838" s="10"/>
      <c r="H838" s="10"/>
      <c r="I838" s="10"/>
      <c r="J838" s="11"/>
      <c r="K838" s="10"/>
      <c r="L838" s="12"/>
    </row>
    <row r="839" spans="1:12" ht="14.25" customHeight="1" x14ac:dyDescent="0.25">
      <c r="A839" s="10"/>
      <c r="C839" s="10"/>
      <c r="F839" s="8"/>
      <c r="G839" s="10"/>
      <c r="H839" s="10"/>
      <c r="I839" s="10"/>
      <c r="J839" s="11"/>
      <c r="K839" s="10"/>
      <c r="L839" s="12"/>
    </row>
    <row r="840" spans="1:12" ht="14.25" customHeight="1" x14ac:dyDescent="0.25">
      <c r="A840" s="10"/>
      <c r="C840" s="10"/>
      <c r="F840" s="8"/>
      <c r="G840" s="10"/>
      <c r="H840" s="10"/>
      <c r="I840" s="10"/>
      <c r="J840" s="11"/>
      <c r="K840" s="10"/>
      <c r="L840" s="12"/>
    </row>
    <row r="841" spans="1:12" ht="14.25" customHeight="1" x14ac:dyDescent="0.25">
      <c r="A841" s="10"/>
      <c r="C841" s="10"/>
      <c r="F841" s="8"/>
      <c r="G841" s="10"/>
      <c r="H841" s="10"/>
      <c r="I841" s="10"/>
      <c r="J841" s="11"/>
      <c r="K841" s="10"/>
      <c r="L841" s="12"/>
    </row>
    <row r="842" spans="1:12" ht="14.25" customHeight="1" x14ac:dyDescent="0.25">
      <c r="A842" s="10"/>
      <c r="C842" s="10"/>
      <c r="F842" s="8"/>
      <c r="G842" s="10"/>
      <c r="H842" s="10"/>
      <c r="I842" s="10"/>
      <c r="J842" s="11"/>
      <c r="K842" s="10"/>
      <c r="L842" s="12"/>
    </row>
    <row r="843" spans="1:12" ht="14.25" customHeight="1" x14ac:dyDescent="0.25">
      <c r="A843" s="10"/>
      <c r="C843" s="10"/>
      <c r="F843" s="8"/>
      <c r="G843" s="10"/>
      <c r="H843" s="10"/>
      <c r="I843" s="10"/>
      <c r="J843" s="11"/>
      <c r="K843" s="10"/>
      <c r="L843" s="12"/>
    </row>
    <row r="844" spans="1:12" ht="14.25" customHeight="1" x14ac:dyDescent="0.25">
      <c r="A844" s="10"/>
      <c r="C844" s="10"/>
      <c r="F844" s="8"/>
      <c r="G844" s="10"/>
      <c r="H844" s="10"/>
      <c r="I844" s="10"/>
      <c r="J844" s="11"/>
      <c r="K844" s="10"/>
      <c r="L844" s="12"/>
    </row>
    <row r="845" spans="1:12" ht="14.25" customHeight="1" x14ac:dyDescent="0.25">
      <c r="A845" s="10"/>
      <c r="C845" s="10"/>
      <c r="F845" s="8"/>
      <c r="G845" s="10"/>
      <c r="H845" s="10"/>
      <c r="I845" s="10"/>
      <c r="J845" s="11"/>
      <c r="K845" s="10"/>
      <c r="L845" s="12"/>
    </row>
    <row r="846" spans="1:12" ht="14.25" customHeight="1" x14ac:dyDescent="0.25">
      <c r="A846" s="10"/>
      <c r="C846" s="10"/>
      <c r="F846" s="8"/>
      <c r="G846" s="10"/>
      <c r="H846" s="10"/>
      <c r="I846" s="10"/>
      <c r="J846" s="11"/>
      <c r="K846" s="10"/>
      <c r="L846" s="12"/>
    </row>
    <row r="847" spans="1:12" ht="14.25" customHeight="1" x14ac:dyDescent="0.25">
      <c r="A847" s="10"/>
      <c r="C847" s="10"/>
      <c r="F847" s="8"/>
      <c r="G847" s="10"/>
      <c r="H847" s="10"/>
      <c r="I847" s="10"/>
      <c r="J847" s="11"/>
      <c r="K847" s="10"/>
      <c r="L847" s="12"/>
    </row>
    <row r="848" spans="1:12" ht="14.25" customHeight="1" x14ac:dyDescent="0.25">
      <c r="A848" s="10"/>
      <c r="C848" s="10"/>
      <c r="F848" s="8"/>
      <c r="G848" s="10"/>
      <c r="H848" s="10"/>
      <c r="I848" s="10"/>
      <c r="J848" s="11"/>
      <c r="K848" s="10"/>
      <c r="L848" s="12"/>
    </row>
    <row r="849" spans="1:12" ht="14.25" customHeight="1" x14ac:dyDescent="0.25">
      <c r="A849" s="10"/>
      <c r="C849" s="10"/>
      <c r="F849" s="8"/>
      <c r="G849" s="10"/>
      <c r="H849" s="10"/>
      <c r="I849" s="10"/>
      <c r="J849" s="11"/>
      <c r="K849" s="10"/>
      <c r="L849" s="12"/>
    </row>
    <row r="850" spans="1:12" ht="14.25" customHeight="1" x14ac:dyDescent="0.25">
      <c r="A850" s="10"/>
      <c r="C850" s="10"/>
      <c r="F850" s="8"/>
      <c r="G850" s="10"/>
      <c r="H850" s="10"/>
      <c r="I850" s="10"/>
      <c r="J850" s="11"/>
      <c r="K850" s="10"/>
      <c r="L850" s="12"/>
    </row>
    <row r="851" spans="1:12" ht="14.25" customHeight="1" x14ac:dyDescent="0.25">
      <c r="A851" s="10"/>
      <c r="C851" s="10"/>
      <c r="F851" s="8"/>
      <c r="G851" s="10"/>
      <c r="H851" s="10"/>
      <c r="I851" s="10"/>
      <c r="J851" s="11"/>
      <c r="K851" s="10"/>
      <c r="L851" s="12"/>
    </row>
    <row r="852" spans="1:12" ht="14.25" customHeight="1" x14ac:dyDescent="0.25">
      <c r="A852" s="10"/>
      <c r="C852" s="10"/>
      <c r="F852" s="8"/>
      <c r="G852" s="10"/>
      <c r="H852" s="10"/>
      <c r="I852" s="10"/>
      <c r="J852" s="11"/>
      <c r="K852" s="10"/>
      <c r="L852" s="12"/>
    </row>
    <row r="853" spans="1:12" ht="14.25" customHeight="1" x14ac:dyDescent="0.25">
      <c r="A853" s="10"/>
      <c r="C853" s="10"/>
      <c r="F853" s="8"/>
      <c r="G853" s="10"/>
      <c r="H853" s="10"/>
      <c r="I853" s="10"/>
      <c r="J853" s="11"/>
      <c r="K853" s="10"/>
      <c r="L853" s="12"/>
    </row>
    <row r="854" spans="1:12" ht="14.25" customHeight="1" x14ac:dyDescent="0.25">
      <c r="A854" s="10"/>
      <c r="C854" s="10"/>
      <c r="F854" s="8"/>
      <c r="G854" s="10"/>
      <c r="H854" s="10"/>
      <c r="I854" s="10"/>
      <c r="J854" s="11"/>
      <c r="K854" s="10"/>
      <c r="L854" s="12"/>
    </row>
    <row r="855" spans="1:12" ht="14.25" customHeight="1" x14ac:dyDescent="0.25">
      <c r="A855" s="10"/>
      <c r="C855" s="10"/>
      <c r="F855" s="8"/>
      <c r="G855" s="10"/>
      <c r="H855" s="10"/>
      <c r="I855" s="10"/>
      <c r="J855" s="11"/>
      <c r="K855" s="10"/>
      <c r="L855" s="12"/>
    </row>
    <row r="856" spans="1:12" ht="14.25" customHeight="1" x14ac:dyDescent="0.25">
      <c r="A856" s="10"/>
      <c r="C856" s="10"/>
      <c r="F856" s="8"/>
      <c r="G856" s="10"/>
      <c r="H856" s="10"/>
      <c r="I856" s="10"/>
      <c r="J856" s="11"/>
      <c r="K856" s="10"/>
      <c r="L856" s="12"/>
    </row>
    <row r="857" spans="1:12" ht="14.25" customHeight="1" x14ac:dyDescent="0.25">
      <c r="A857" s="10"/>
      <c r="C857" s="10"/>
      <c r="F857" s="8"/>
      <c r="G857" s="10"/>
      <c r="H857" s="10"/>
      <c r="I857" s="10"/>
      <c r="J857" s="11"/>
      <c r="K857" s="10"/>
      <c r="L857" s="12"/>
    </row>
    <row r="858" spans="1:12" ht="14.25" customHeight="1" x14ac:dyDescent="0.25">
      <c r="A858" s="10"/>
      <c r="C858" s="10"/>
      <c r="F858" s="8"/>
      <c r="G858" s="10"/>
      <c r="H858" s="10"/>
      <c r="I858" s="10"/>
      <c r="J858" s="11"/>
      <c r="K858" s="10"/>
      <c r="L858" s="12"/>
    </row>
    <row r="859" spans="1:12" ht="14.25" customHeight="1" x14ac:dyDescent="0.25">
      <c r="A859" s="10"/>
      <c r="C859" s="10"/>
      <c r="F859" s="8"/>
      <c r="G859" s="10"/>
      <c r="H859" s="10"/>
      <c r="I859" s="10"/>
      <c r="J859" s="11"/>
      <c r="K859" s="10"/>
      <c r="L859" s="12"/>
    </row>
    <row r="860" spans="1:12" ht="14.25" customHeight="1" x14ac:dyDescent="0.25">
      <c r="A860" s="10"/>
      <c r="C860" s="10"/>
      <c r="F860" s="8"/>
      <c r="G860" s="10"/>
      <c r="H860" s="10"/>
      <c r="I860" s="10"/>
      <c r="J860" s="11"/>
      <c r="K860" s="10"/>
      <c r="L860" s="12"/>
    </row>
    <row r="861" spans="1:12" ht="14.25" customHeight="1" x14ac:dyDescent="0.25">
      <c r="A861" s="10"/>
      <c r="C861" s="10"/>
      <c r="F861" s="8"/>
      <c r="G861" s="10"/>
      <c r="H861" s="10"/>
      <c r="I861" s="10"/>
      <c r="J861" s="11"/>
      <c r="K861" s="10"/>
      <c r="L861" s="12"/>
    </row>
    <row r="862" spans="1:12" ht="14.25" customHeight="1" x14ac:dyDescent="0.25">
      <c r="A862" s="10"/>
      <c r="C862" s="10"/>
      <c r="F862" s="8"/>
      <c r="G862" s="10"/>
      <c r="H862" s="10"/>
      <c r="I862" s="10"/>
      <c r="J862" s="11"/>
      <c r="K862" s="10"/>
      <c r="L862" s="12"/>
    </row>
    <row r="863" spans="1:12" ht="14.25" customHeight="1" x14ac:dyDescent="0.25">
      <c r="A863" s="10"/>
      <c r="C863" s="10"/>
      <c r="F863" s="8"/>
      <c r="G863" s="10"/>
      <c r="H863" s="10"/>
      <c r="I863" s="10"/>
      <c r="J863" s="11"/>
      <c r="K863" s="10"/>
      <c r="L863" s="12"/>
    </row>
    <row r="864" spans="1:12" ht="14.25" customHeight="1" x14ac:dyDescent="0.25">
      <c r="A864" s="10"/>
      <c r="C864" s="10"/>
      <c r="F864" s="8"/>
      <c r="G864" s="10"/>
      <c r="H864" s="10"/>
      <c r="I864" s="10"/>
      <c r="J864" s="11"/>
      <c r="K864" s="10"/>
      <c r="L864" s="12"/>
    </row>
    <row r="865" spans="1:12" ht="14.25" customHeight="1" x14ac:dyDescent="0.25">
      <c r="A865" s="10"/>
      <c r="C865" s="10"/>
      <c r="F865" s="8"/>
      <c r="G865" s="10"/>
      <c r="H865" s="10"/>
      <c r="I865" s="10"/>
      <c r="J865" s="11"/>
      <c r="K865" s="10"/>
      <c r="L865" s="12"/>
    </row>
    <row r="866" spans="1:12" ht="14.25" customHeight="1" x14ac:dyDescent="0.25">
      <c r="A866" s="10"/>
      <c r="C866" s="10"/>
      <c r="F866" s="8"/>
      <c r="G866" s="10"/>
      <c r="H866" s="10"/>
      <c r="I866" s="10"/>
      <c r="J866" s="11"/>
      <c r="K866" s="10"/>
      <c r="L866" s="12"/>
    </row>
    <row r="867" spans="1:12" ht="14.25" customHeight="1" x14ac:dyDescent="0.25">
      <c r="A867" s="10"/>
      <c r="C867" s="10"/>
      <c r="F867" s="8"/>
      <c r="G867" s="10"/>
      <c r="H867" s="10"/>
      <c r="I867" s="10"/>
      <c r="J867" s="11"/>
      <c r="K867" s="10"/>
      <c r="L867" s="12"/>
    </row>
    <row r="868" spans="1:12" ht="14.25" customHeight="1" x14ac:dyDescent="0.25">
      <c r="A868" s="10"/>
      <c r="C868" s="10"/>
      <c r="F868" s="8"/>
      <c r="G868" s="10"/>
      <c r="H868" s="10"/>
      <c r="I868" s="10"/>
      <c r="J868" s="11"/>
      <c r="K868" s="10"/>
      <c r="L868" s="12"/>
    </row>
    <row r="869" spans="1:12" ht="14.25" customHeight="1" x14ac:dyDescent="0.25">
      <c r="A869" s="10"/>
      <c r="C869" s="10"/>
      <c r="F869" s="8"/>
      <c r="G869" s="10"/>
      <c r="H869" s="10"/>
      <c r="I869" s="10"/>
      <c r="J869" s="11"/>
      <c r="K869" s="10"/>
      <c r="L869" s="12"/>
    </row>
    <row r="870" spans="1:12" ht="14.25" customHeight="1" x14ac:dyDescent="0.25">
      <c r="A870" s="10"/>
      <c r="C870" s="10"/>
      <c r="F870" s="8"/>
      <c r="G870" s="10"/>
      <c r="H870" s="10"/>
      <c r="I870" s="10"/>
      <c r="J870" s="11"/>
      <c r="K870" s="10"/>
      <c r="L870" s="12"/>
    </row>
    <row r="871" spans="1:12" ht="14.25" customHeight="1" x14ac:dyDescent="0.25">
      <c r="A871" s="10"/>
      <c r="C871" s="10"/>
      <c r="F871" s="8"/>
      <c r="G871" s="10"/>
      <c r="H871" s="10"/>
      <c r="I871" s="10"/>
      <c r="J871" s="11"/>
      <c r="K871" s="10"/>
      <c r="L871" s="12"/>
    </row>
    <row r="872" spans="1:12" ht="14.25" customHeight="1" x14ac:dyDescent="0.25">
      <c r="A872" s="10"/>
      <c r="C872" s="10"/>
      <c r="F872" s="8"/>
      <c r="G872" s="10"/>
      <c r="H872" s="10"/>
      <c r="I872" s="10"/>
      <c r="J872" s="11"/>
      <c r="K872" s="10"/>
      <c r="L872" s="12"/>
    </row>
    <row r="873" spans="1:12" ht="14.25" customHeight="1" x14ac:dyDescent="0.25">
      <c r="A873" s="10"/>
      <c r="C873" s="10"/>
      <c r="F873" s="8"/>
      <c r="G873" s="10"/>
      <c r="H873" s="10"/>
      <c r="I873" s="10"/>
      <c r="J873" s="11"/>
      <c r="K873" s="10"/>
      <c r="L873" s="12"/>
    </row>
    <row r="874" spans="1:12" ht="14.25" customHeight="1" x14ac:dyDescent="0.25">
      <c r="A874" s="10"/>
      <c r="C874" s="10"/>
      <c r="F874" s="8"/>
      <c r="G874" s="10"/>
      <c r="H874" s="10"/>
      <c r="I874" s="10"/>
      <c r="J874" s="11"/>
      <c r="K874" s="10"/>
      <c r="L874" s="12"/>
    </row>
    <row r="875" spans="1:12" ht="14.25" customHeight="1" x14ac:dyDescent="0.25">
      <c r="A875" s="10"/>
      <c r="C875" s="10"/>
      <c r="F875" s="8"/>
      <c r="G875" s="10"/>
      <c r="H875" s="10"/>
      <c r="I875" s="10"/>
      <c r="J875" s="11"/>
      <c r="K875" s="10"/>
      <c r="L875" s="12"/>
    </row>
    <row r="876" spans="1:12" ht="14.25" customHeight="1" x14ac:dyDescent="0.25">
      <c r="A876" s="10"/>
      <c r="C876" s="10"/>
      <c r="F876" s="8"/>
      <c r="G876" s="10"/>
      <c r="H876" s="10"/>
      <c r="I876" s="10"/>
      <c r="J876" s="11"/>
      <c r="K876" s="10"/>
      <c r="L876" s="12"/>
    </row>
    <row r="877" spans="1:12" ht="14.25" customHeight="1" x14ac:dyDescent="0.25">
      <c r="A877" s="10"/>
      <c r="C877" s="10"/>
      <c r="F877" s="8"/>
      <c r="G877" s="10"/>
      <c r="H877" s="10"/>
      <c r="I877" s="10"/>
      <c r="J877" s="11"/>
      <c r="K877" s="10"/>
      <c r="L877" s="12"/>
    </row>
    <row r="878" spans="1:12" ht="14.25" customHeight="1" x14ac:dyDescent="0.25">
      <c r="A878" s="10"/>
      <c r="C878" s="10"/>
      <c r="F878" s="8"/>
      <c r="G878" s="10"/>
      <c r="H878" s="10"/>
      <c r="I878" s="10"/>
      <c r="J878" s="11"/>
      <c r="K878" s="10"/>
      <c r="L878" s="12"/>
    </row>
    <row r="879" spans="1:12" ht="14.25" customHeight="1" x14ac:dyDescent="0.25">
      <c r="A879" s="10"/>
      <c r="C879" s="10"/>
      <c r="F879" s="8"/>
      <c r="G879" s="10"/>
      <c r="H879" s="10"/>
      <c r="I879" s="10"/>
      <c r="J879" s="11"/>
      <c r="K879" s="10"/>
      <c r="L879" s="12"/>
    </row>
    <row r="880" spans="1:12" ht="14.25" customHeight="1" x14ac:dyDescent="0.25">
      <c r="A880" s="10"/>
      <c r="C880" s="10"/>
      <c r="F880" s="8"/>
      <c r="G880" s="10"/>
      <c r="H880" s="10"/>
      <c r="I880" s="10"/>
      <c r="J880" s="11"/>
      <c r="K880" s="10"/>
      <c r="L880" s="12"/>
    </row>
    <row r="881" spans="1:12" ht="14.25" customHeight="1" x14ac:dyDescent="0.25">
      <c r="A881" s="10"/>
      <c r="C881" s="10"/>
      <c r="F881" s="8"/>
      <c r="G881" s="10"/>
      <c r="H881" s="10"/>
      <c r="I881" s="10"/>
      <c r="J881" s="11"/>
      <c r="K881" s="10"/>
      <c r="L881" s="12"/>
    </row>
    <row r="882" spans="1:12" ht="14.25" customHeight="1" x14ac:dyDescent="0.25">
      <c r="A882" s="10"/>
      <c r="C882" s="10"/>
      <c r="F882" s="8"/>
      <c r="G882" s="10"/>
      <c r="H882" s="10"/>
      <c r="I882" s="10"/>
      <c r="J882" s="11"/>
      <c r="K882" s="10"/>
      <c r="L882" s="12"/>
    </row>
    <row r="883" spans="1:12" ht="14.25" customHeight="1" x14ac:dyDescent="0.25">
      <c r="A883" s="10"/>
      <c r="C883" s="10"/>
      <c r="F883" s="8"/>
      <c r="G883" s="10"/>
      <c r="H883" s="10"/>
      <c r="I883" s="10"/>
      <c r="J883" s="11"/>
      <c r="K883" s="10"/>
      <c r="L883" s="12"/>
    </row>
    <row r="884" spans="1:12" ht="14.25" customHeight="1" x14ac:dyDescent="0.25">
      <c r="A884" s="10"/>
      <c r="C884" s="10"/>
      <c r="F884" s="8"/>
      <c r="G884" s="10"/>
      <c r="H884" s="10"/>
      <c r="I884" s="10"/>
      <c r="J884" s="11"/>
      <c r="K884" s="10"/>
      <c r="L884" s="12"/>
    </row>
    <row r="885" spans="1:12" ht="14.25" customHeight="1" x14ac:dyDescent="0.25">
      <c r="A885" s="10"/>
      <c r="C885" s="10"/>
      <c r="F885" s="8"/>
      <c r="G885" s="10"/>
      <c r="H885" s="10"/>
      <c r="I885" s="10"/>
      <c r="J885" s="11"/>
      <c r="K885" s="10"/>
      <c r="L885" s="12"/>
    </row>
    <row r="886" spans="1:12" ht="14.25" customHeight="1" x14ac:dyDescent="0.25">
      <c r="A886" s="10"/>
      <c r="C886" s="10"/>
      <c r="F886" s="8"/>
      <c r="G886" s="10"/>
      <c r="H886" s="10"/>
      <c r="I886" s="10"/>
      <c r="J886" s="11"/>
      <c r="K886" s="10"/>
      <c r="L886" s="12"/>
    </row>
    <row r="887" spans="1:12" ht="14.25" customHeight="1" x14ac:dyDescent="0.25">
      <c r="A887" s="10"/>
      <c r="C887" s="10"/>
      <c r="F887" s="8"/>
      <c r="G887" s="10"/>
      <c r="H887" s="10"/>
      <c r="I887" s="10"/>
      <c r="J887" s="11"/>
      <c r="K887" s="10"/>
      <c r="L887" s="12"/>
    </row>
    <row r="888" spans="1:12" ht="14.25" customHeight="1" x14ac:dyDescent="0.25">
      <c r="A888" s="10"/>
      <c r="C888" s="10"/>
      <c r="F888" s="8"/>
      <c r="G888" s="10"/>
      <c r="H888" s="10"/>
      <c r="I888" s="10"/>
      <c r="J888" s="11"/>
      <c r="K888" s="10"/>
      <c r="L888" s="12"/>
    </row>
    <row r="889" spans="1:12" ht="14.25" customHeight="1" x14ac:dyDescent="0.25">
      <c r="A889" s="10"/>
      <c r="C889" s="10"/>
      <c r="F889" s="8"/>
      <c r="G889" s="10"/>
      <c r="H889" s="10"/>
      <c r="I889" s="10"/>
      <c r="J889" s="11"/>
      <c r="K889" s="10"/>
      <c r="L889" s="12"/>
    </row>
    <row r="890" spans="1:12" ht="14.25" customHeight="1" x14ac:dyDescent="0.25">
      <c r="A890" s="10"/>
      <c r="C890" s="10"/>
      <c r="F890" s="8"/>
      <c r="G890" s="10"/>
      <c r="H890" s="10"/>
      <c r="I890" s="10"/>
      <c r="J890" s="11"/>
      <c r="K890" s="10"/>
      <c r="L890" s="12"/>
    </row>
    <row r="891" spans="1:12" ht="14.25" customHeight="1" x14ac:dyDescent="0.25">
      <c r="A891" s="10"/>
      <c r="C891" s="10"/>
      <c r="F891" s="8"/>
      <c r="G891" s="10"/>
      <c r="H891" s="10"/>
      <c r="I891" s="10"/>
      <c r="J891" s="11"/>
      <c r="K891" s="10"/>
      <c r="L891" s="12"/>
    </row>
    <row r="892" spans="1:12" ht="14.25" customHeight="1" x14ac:dyDescent="0.25">
      <c r="A892" s="10"/>
      <c r="C892" s="10"/>
      <c r="F892" s="8"/>
      <c r="G892" s="10"/>
      <c r="H892" s="10"/>
      <c r="I892" s="10"/>
      <c r="J892" s="11"/>
      <c r="K892" s="10"/>
      <c r="L892" s="12"/>
    </row>
    <row r="893" spans="1:12" ht="14.25" customHeight="1" x14ac:dyDescent="0.25">
      <c r="A893" s="10"/>
      <c r="C893" s="10"/>
      <c r="F893" s="8"/>
      <c r="G893" s="10"/>
      <c r="H893" s="10"/>
      <c r="I893" s="10"/>
      <c r="J893" s="11"/>
      <c r="K893" s="10"/>
      <c r="L893" s="12"/>
    </row>
    <row r="894" spans="1:12" ht="14.25" customHeight="1" x14ac:dyDescent="0.25">
      <c r="A894" s="10"/>
      <c r="C894" s="10"/>
      <c r="F894" s="8"/>
      <c r="G894" s="10"/>
      <c r="H894" s="10"/>
      <c r="I894" s="10"/>
      <c r="J894" s="11"/>
      <c r="K894" s="10"/>
      <c r="L894" s="12"/>
    </row>
    <row r="895" spans="1:12" ht="14.25" customHeight="1" x14ac:dyDescent="0.25">
      <c r="A895" s="10"/>
      <c r="C895" s="10"/>
      <c r="F895" s="8"/>
      <c r="G895" s="10"/>
      <c r="H895" s="10"/>
      <c r="I895" s="10"/>
      <c r="J895" s="11"/>
      <c r="K895" s="10"/>
      <c r="L895" s="12"/>
    </row>
    <row r="896" spans="1:12" ht="14.25" customHeight="1" x14ac:dyDescent="0.25">
      <c r="A896" s="10"/>
      <c r="C896" s="10"/>
      <c r="F896" s="8"/>
      <c r="G896" s="10"/>
      <c r="H896" s="10"/>
      <c r="I896" s="10"/>
      <c r="J896" s="11"/>
      <c r="K896" s="10"/>
      <c r="L896" s="12"/>
    </row>
    <row r="897" spans="1:12" ht="14.25" customHeight="1" x14ac:dyDescent="0.25">
      <c r="A897" s="10"/>
      <c r="C897" s="10"/>
      <c r="F897" s="8"/>
      <c r="G897" s="10"/>
      <c r="H897" s="10"/>
      <c r="I897" s="10"/>
      <c r="J897" s="11"/>
      <c r="K897" s="10"/>
      <c r="L897" s="12"/>
    </row>
    <row r="898" spans="1:12" ht="14.25" customHeight="1" x14ac:dyDescent="0.25">
      <c r="A898" s="10"/>
      <c r="C898" s="10"/>
      <c r="F898" s="8"/>
      <c r="G898" s="10"/>
      <c r="H898" s="10"/>
      <c r="I898" s="10"/>
      <c r="J898" s="11"/>
      <c r="K898" s="10"/>
      <c r="L898" s="12"/>
    </row>
    <row r="899" spans="1:12" ht="14.25" customHeight="1" x14ac:dyDescent="0.25">
      <c r="A899" s="10"/>
      <c r="C899" s="10"/>
      <c r="F899" s="8"/>
      <c r="G899" s="10"/>
      <c r="H899" s="10"/>
      <c r="I899" s="10"/>
      <c r="J899" s="11"/>
      <c r="K899" s="10"/>
      <c r="L899" s="12"/>
    </row>
    <row r="900" spans="1:12" ht="14.25" customHeight="1" x14ac:dyDescent="0.25">
      <c r="A900" s="10"/>
      <c r="C900" s="10"/>
      <c r="F900" s="8"/>
      <c r="G900" s="10"/>
      <c r="H900" s="10"/>
      <c r="I900" s="10"/>
      <c r="J900" s="11"/>
      <c r="K900" s="10"/>
      <c r="L900" s="12"/>
    </row>
    <row r="901" spans="1:12" ht="14.25" customHeight="1" x14ac:dyDescent="0.25">
      <c r="A901" s="10"/>
      <c r="C901" s="10"/>
      <c r="F901" s="8"/>
      <c r="G901" s="10"/>
      <c r="H901" s="10"/>
      <c r="I901" s="10"/>
      <c r="J901" s="11"/>
      <c r="K901" s="10"/>
      <c r="L901" s="12"/>
    </row>
    <row r="902" spans="1:12" ht="14.25" customHeight="1" x14ac:dyDescent="0.25">
      <c r="A902" s="10"/>
      <c r="C902" s="10"/>
      <c r="F902" s="8"/>
      <c r="G902" s="10"/>
      <c r="H902" s="10"/>
      <c r="I902" s="10"/>
      <c r="J902" s="11"/>
      <c r="K902" s="10"/>
      <c r="L902" s="12"/>
    </row>
    <row r="903" spans="1:12" ht="14.25" customHeight="1" x14ac:dyDescent="0.25">
      <c r="A903" s="10"/>
      <c r="C903" s="10"/>
      <c r="F903" s="8"/>
      <c r="G903" s="10"/>
      <c r="H903" s="10"/>
      <c r="I903" s="10"/>
      <c r="J903" s="11"/>
      <c r="K903" s="10"/>
      <c r="L903" s="12"/>
    </row>
    <row r="904" spans="1:12" ht="14.25" customHeight="1" x14ac:dyDescent="0.25">
      <c r="A904" s="10"/>
      <c r="C904" s="10"/>
      <c r="F904" s="8"/>
      <c r="G904" s="10"/>
      <c r="H904" s="10"/>
      <c r="I904" s="10"/>
      <c r="J904" s="11"/>
      <c r="K904" s="10"/>
      <c r="L904" s="12"/>
    </row>
    <row r="905" spans="1:12" ht="14.25" customHeight="1" x14ac:dyDescent="0.25">
      <c r="A905" s="10"/>
      <c r="C905" s="10"/>
      <c r="F905" s="8"/>
      <c r="G905" s="10"/>
      <c r="H905" s="10"/>
      <c r="I905" s="10"/>
      <c r="J905" s="11"/>
      <c r="K905" s="10"/>
      <c r="L905" s="12"/>
    </row>
    <row r="906" spans="1:12" ht="14.25" customHeight="1" x14ac:dyDescent="0.25">
      <c r="A906" s="10"/>
      <c r="C906" s="10"/>
      <c r="F906" s="8"/>
      <c r="G906" s="10"/>
      <c r="H906" s="10"/>
      <c r="I906" s="10"/>
      <c r="J906" s="11"/>
      <c r="K906" s="10"/>
      <c r="L906" s="12"/>
    </row>
    <row r="907" spans="1:12" ht="14.25" customHeight="1" x14ac:dyDescent="0.25">
      <c r="A907" s="10"/>
      <c r="C907" s="10"/>
      <c r="F907" s="8"/>
      <c r="G907" s="10"/>
      <c r="H907" s="10"/>
      <c r="I907" s="10"/>
      <c r="J907" s="11"/>
      <c r="K907" s="10"/>
      <c r="L907" s="12"/>
    </row>
    <row r="908" spans="1:12" ht="14.25" customHeight="1" x14ac:dyDescent="0.25">
      <c r="A908" s="10"/>
      <c r="C908" s="10"/>
      <c r="F908" s="8"/>
      <c r="G908" s="10"/>
      <c r="H908" s="10"/>
      <c r="I908" s="10"/>
      <c r="J908" s="11"/>
      <c r="K908" s="10"/>
      <c r="L908" s="12"/>
    </row>
    <row r="909" spans="1:12" ht="14.25" customHeight="1" x14ac:dyDescent="0.25">
      <c r="A909" s="10"/>
      <c r="C909" s="10"/>
      <c r="F909" s="8"/>
      <c r="G909" s="10"/>
      <c r="H909" s="10"/>
      <c r="I909" s="10"/>
      <c r="J909" s="11"/>
      <c r="K909" s="10"/>
      <c r="L909" s="12"/>
    </row>
    <row r="910" spans="1:12" ht="14.25" customHeight="1" x14ac:dyDescent="0.25">
      <c r="A910" s="10"/>
      <c r="C910" s="10"/>
      <c r="F910" s="8"/>
      <c r="G910" s="10"/>
      <c r="H910" s="10"/>
      <c r="I910" s="10"/>
      <c r="J910" s="11"/>
      <c r="K910" s="10"/>
      <c r="L910" s="12"/>
    </row>
    <row r="911" spans="1:12" ht="14.25" customHeight="1" x14ac:dyDescent="0.25">
      <c r="A911" s="10"/>
      <c r="C911" s="10"/>
      <c r="F911" s="8"/>
      <c r="G911" s="10"/>
      <c r="H911" s="10"/>
      <c r="I911" s="10"/>
      <c r="J911" s="11"/>
      <c r="K911" s="10"/>
      <c r="L911" s="12"/>
    </row>
    <row r="912" spans="1:12" ht="14.25" customHeight="1" x14ac:dyDescent="0.25">
      <c r="A912" s="10"/>
      <c r="C912" s="10"/>
      <c r="F912" s="8"/>
      <c r="G912" s="10"/>
      <c r="H912" s="10"/>
      <c r="I912" s="10"/>
      <c r="J912" s="11"/>
      <c r="K912" s="10"/>
      <c r="L912" s="12"/>
    </row>
    <row r="913" spans="1:12" ht="14.25" customHeight="1" x14ac:dyDescent="0.25">
      <c r="A913" s="10"/>
      <c r="C913" s="10"/>
      <c r="F913" s="8"/>
      <c r="G913" s="10"/>
      <c r="H913" s="10"/>
      <c r="I913" s="10"/>
      <c r="J913" s="11"/>
      <c r="K913" s="10"/>
      <c r="L913" s="12"/>
    </row>
    <row r="914" spans="1:12" ht="14.25" customHeight="1" x14ac:dyDescent="0.25">
      <c r="A914" s="10"/>
      <c r="C914" s="10"/>
      <c r="F914" s="8"/>
      <c r="G914" s="10"/>
      <c r="H914" s="10"/>
      <c r="I914" s="10"/>
      <c r="J914" s="11"/>
      <c r="K914" s="10"/>
      <c r="L914" s="12"/>
    </row>
    <row r="915" spans="1:12" ht="14.25" customHeight="1" x14ac:dyDescent="0.25">
      <c r="A915" s="10"/>
      <c r="C915" s="10"/>
      <c r="F915" s="8"/>
      <c r="G915" s="10"/>
      <c r="H915" s="10"/>
      <c r="I915" s="10"/>
      <c r="J915" s="11"/>
      <c r="K915" s="10"/>
      <c r="L915" s="12"/>
    </row>
    <row r="916" spans="1:12" ht="14.25" customHeight="1" x14ac:dyDescent="0.25">
      <c r="A916" s="10"/>
      <c r="C916" s="10"/>
      <c r="F916" s="8"/>
      <c r="G916" s="10"/>
      <c r="H916" s="10"/>
      <c r="I916" s="10"/>
      <c r="J916" s="11"/>
      <c r="K916" s="10"/>
      <c r="L916" s="12"/>
    </row>
    <row r="917" spans="1:12" ht="14.25" customHeight="1" x14ac:dyDescent="0.25">
      <c r="A917" s="10"/>
      <c r="C917" s="10"/>
      <c r="F917" s="8"/>
      <c r="G917" s="10"/>
      <c r="H917" s="10"/>
      <c r="I917" s="10"/>
      <c r="J917" s="11"/>
      <c r="K917" s="10"/>
      <c r="L917" s="12"/>
    </row>
    <row r="918" spans="1:12" ht="14.25" customHeight="1" x14ac:dyDescent="0.25">
      <c r="A918" s="10"/>
      <c r="C918" s="10"/>
      <c r="F918" s="8"/>
      <c r="G918" s="10"/>
      <c r="H918" s="10"/>
      <c r="I918" s="10"/>
      <c r="J918" s="11"/>
      <c r="K918" s="10"/>
      <c r="L918" s="12"/>
    </row>
    <row r="919" spans="1:12" ht="14.25" customHeight="1" x14ac:dyDescent="0.25">
      <c r="A919" s="10"/>
      <c r="C919" s="10"/>
      <c r="F919" s="8"/>
      <c r="G919" s="10"/>
      <c r="H919" s="10"/>
      <c r="I919" s="10"/>
      <c r="J919" s="11"/>
      <c r="K919" s="10"/>
      <c r="L919" s="12"/>
    </row>
    <row r="920" spans="1:12" ht="14.25" customHeight="1" x14ac:dyDescent="0.25">
      <c r="A920" s="10"/>
      <c r="C920" s="10"/>
      <c r="F920" s="8"/>
      <c r="G920" s="10"/>
      <c r="H920" s="10"/>
      <c r="I920" s="10"/>
      <c r="J920" s="11"/>
      <c r="K920" s="10"/>
      <c r="L920" s="12"/>
    </row>
    <row r="921" spans="1:12" ht="14.25" customHeight="1" x14ac:dyDescent="0.25">
      <c r="A921" s="10"/>
      <c r="C921" s="10"/>
      <c r="F921" s="8"/>
      <c r="G921" s="10"/>
      <c r="H921" s="10"/>
      <c r="I921" s="10"/>
      <c r="J921" s="11"/>
      <c r="K921" s="10"/>
      <c r="L921" s="12"/>
    </row>
    <row r="922" spans="1:12" ht="14.25" customHeight="1" x14ac:dyDescent="0.25">
      <c r="A922" s="10"/>
      <c r="C922" s="10"/>
      <c r="F922" s="8"/>
      <c r="G922" s="10"/>
      <c r="H922" s="10"/>
      <c r="I922" s="10"/>
      <c r="J922" s="11"/>
      <c r="K922" s="10"/>
      <c r="L922" s="12"/>
    </row>
    <row r="923" spans="1:12" ht="14.25" customHeight="1" x14ac:dyDescent="0.25">
      <c r="A923" s="10"/>
      <c r="C923" s="10"/>
      <c r="F923" s="8"/>
      <c r="G923" s="10"/>
      <c r="H923" s="10"/>
      <c r="I923" s="10"/>
      <c r="J923" s="11"/>
      <c r="K923" s="10"/>
      <c r="L923" s="12"/>
    </row>
    <row r="924" spans="1:12" ht="14.25" customHeight="1" x14ac:dyDescent="0.25">
      <c r="A924" s="10"/>
      <c r="C924" s="10"/>
      <c r="F924" s="8"/>
      <c r="G924" s="10"/>
      <c r="H924" s="10"/>
      <c r="I924" s="10"/>
      <c r="J924" s="11"/>
      <c r="K924" s="10"/>
      <c r="L924" s="12"/>
    </row>
    <row r="925" spans="1:12" ht="14.25" customHeight="1" x14ac:dyDescent="0.25">
      <c r="A925" s="10"/>
      <c r="C925" s="10"/>
      <c r="F925" s="8"/>
      <c r="G925" s="10"/>
      <c r="H925" s="10"/>
      <c r="I925" s="10"/>
      <c r="J925" s="11"/>
      <c r="K925" s="10"/>
      <c r="L925" s="12"/>
    </row>
    <row r="926" spans="1:12" ht="14.25" customHeight="1" x14ac:dyDescent="0.25">
      <c r="A926" s="10"/>
      <c r="C926" s="10"/>
      <c r="F926" s="8"/>
      <c r="G926" s="10"/>
      <c r="H926" s="10"/>
      <c r="I926" s="10"/>
      <c r="J926" s="11"/>
      <c r="K926" s="10"/>
      <c r="L926" s="12"/>
    </row>
    <row r="927" spans="1:12" ht="14.25" customHeight="1" x14ac:dyDescent="0.25">
      <c r="A927" s="10"/>
      <c r="C927" s="10"/>
      <c r="F927" s="8"/>
      <c r="G927" s="10"/>
      <c r="H927" s="10"/>
      <c r="I927" s="10"/>
      <c r="J927" s="11"/>
      <c r="K927" s="10"/>
      <c r="L927" s="12"/>
    </row>
    <row r="928" spans="1:12" ht="14.25" customHeight="1" x14ac:dyDescent="0.25">
      <c r="A928" s="10"/>
      <c r="C928" s="10"/>
      <c r="F928" s="8"/>
      <c r="G928" s="10"/>
      <c r="H928" s="10"/>
      <c r="I928" s="10"/>
      <c r="J928" s="11"/>
      <c r="K928" s="10"/>
      <c r="L928" s="12"/>
    </row>
    <row r="929" spans="1:12" ht="14.25" customHeight="1" x14ac:dyDescent="0.25">
      <c r="A929" s="10"/>
      <c r="C929" s="10"/>
      <c r="F929" s="8"/>
      <c r="G929" s="10"/>
      <c r="H929" s="10"/>
      <c r="I929" s="10"/>
      <c r="J929" s="11"/>
      <c r="K929" s="10"/>
      <c r="L929" s="12"/>
    </row>
    <row r="930" spans="1:12" ht="14.25" customHeight="1" x14ac:dyDescent="0.25">
      <c r="A930" s="10"/>
      <c r="C930" s="10"/>
      <c r="F930" s="8"/>
      <c r="G930" s="10"/>
      <c r="H930" s="10"/>
      <c r="I930" s="10"/>
      <c r="J930" s="11"/>
      <c r="K930" s="10"/>
      <c r="L930" s="12"/>
    </row>
    <row r="931" spans="1:12" ht="14.25" customHeight="1" x14ac:dyDescent="0.25">
      <c r="A931" s="10"/>
      <c r="C931" s="10"/>
      <c r="F931" s="8"/>
      <c r="G931" s="10"/>
      <c r="H931" s="10"/>
      <c r="I931" s="10"/>
      <c r="J931" s="11"/>
      <c r="K931" s="10"/>
      <c r="L931" s="12"/>
    </row>
    <row r="932" spans="1:12" ht="14.25" customHeight="1" x14ac:dyDescent="0.25">
      <c r="A932" s="10"/>
      <c r="C932" s="10"/>
      <c r="F932" s="8"/>
      <c r="G932" s="10"/>
      <c r="H932" s="10"/>
      <c r="I932" s="10"/>
      <c r="J932" s="11"/>
      <c r="K932" s="10"/>
      <c r="L932" s="12"/>
    </row>
    <row r="933" spans="1:12" ht="14.25" customHeight="1" x14ac:dyDescent="0.25">
      <c r="A933" s="10"/>
      <c r="C933" s="10"/>
      <c r="F933" s="8"/>
      <c r="G933" s="10"/>
      <c r="H933" s="10"/>
      <c r="I933" s="10"/>
      <c r="J933" s="11"/>
      <c r="K933" s="10"/>
      <c r="L933" s="12"/>
    </row>
    <row r="934" spans="1:12" ht="14.25" customHeight="1" x14ac:dyDescent="0.25">
      <c r="A934" s="10"/>
      <c r="C934" s="10"/>
      <c r="F934" s="8"/>
      <c r="G934" s="10"/>
      <c r="H934" s="10"/>
      <c r="I934" s="10"/>
      <c r="J934" s="11"/>
      <c r="K934" s="10"/>
      <c r="L934" s="12"/>
    </row>
    <row r="935" spans="1:12" ht="14.25" customHeight="1" x14ac:dyDescent="0.25">
      <c r="A935" s="10"/>
      <c r="C935" s="10"/>
      <c r="F935" s="8"/>
      <c r="G935" s="10"/>
      <c r="H935" s="10"/>
      <c r="I935" s="10"/>
      <c r="J935" s="11"/>
      <c r="K935" s="10"/>
      <c r="L935" s="12"/>
    </row>
    <row r="936" spans="1:12" ht="14.25" customHeight="1" x14ac:dyDescent="0.25">
      <c r="A936" s="10"/>
      <c r="C936" s="10"/>
      <c r="F936" s="8"/>
      <c r="G936" s="10"/>
      <c r="H936" s="10"/>
      <c r="I936" s="10"/>
      <c r="J936" s="11"/>
      <c r="K936" s="10"/>
      <c r="L936" s="12"/>
    </row>
    <row r="937" spans="1:12" ht="14.25" customHeight="1" x14ac:dyDescent="0.25">
      <c r="A937" s="10"/>
      <c r="C937" s="10"/>
      <c r="F937" s="8"/>
      <c r="G937" s="10"/>
      <c r="H937" s="10"/>
      <c r="I937" s="10"/>
      <c r="J937" s="11"/>
      <c r="K937" s="10"/>
      <c r="L937" s="12"/>
    </row>
    <row r="938" spans="1:12" ht="14.25" customHeight="1" x14ac:dyDescent="0.25">
      <c r="A938" s="10"/>
      <c r="C938" s="10"/>
      <c r="F938" s="8"/>
      <c r="G938" s="10"/>
      <c r="H938" s="10"/>
      <c r="I938" s="10"/>
      <c r="J938" s="11"/>
      <c r="K938" s="10"/>
      <c r="L938" s="12"/>
    </row>
    <row r="939" spans="1:12" ht="14.25" customHeight="1" x14ac:dyDescent="0.25">
      <c r="A939" s="10"/>
      <c r="C939" s="10"/>
      <c r="F939" s="8"/>
      <c r="G939" s="10"/>
      <c r="H939" s="10"/>
      <c r="I939" s="10"/>
      <c r="J939" s="11"/>
      <c r="K939" s="10"/>
      <c r="L939" s="12"/>
    </row>
    <row r="940" spans="1:12" ht="14.25" customHeight="1" x14ac:dyDescent="0.25">
      <c r="A940" s="10"/>
      <c r="C940" s="10"/>
      <c r="F940" s="8"/>
      <c r="G940" s="10"/>
      <c r="H940" s="10"/>
      <c r="I940" s="10"/>
      <c r="J940" s="11"/>
      <c r="K940" s="10"/>
      <c r="L940" s="12"/>
    </row>
    <row r="941" spans="1:12" ht="14.25" customHeight="1" x14ac:dyDescent="0.25">
      <c r="A941" s="10"/>
      <c r="C941" s="10"/>
      <c r="F941" s="8"/>
      <c r="G941" s="10"/>
      <c r="H941" s="10"/>
      <c r="I941" s="10"/>
      <c r="J941" s="11"/>
      <c r="K941" s="10"/>
      <c r="L941" s="12"/>
    </row>
    <row r="942" spans="1:12" ht="14.25" customHeight="1" x14ac:dyDescent="0.25">
      <c r="A942" s="10"/>
      <c r="C942" s="10"/>
      <c r="F942" s="8"/>
      <c r="G942" s="10"/>
      <c r="H942" s="10"/>
      <c r="I942" s="10"/>
      <c r="J942" s="11"/>
      <c r="K942" s="10"/>
      <c r="L942" s="12"/>
    </row>
    <row r="943" spans="1:12" ht="14.25" customHeight="1" x14ac:dyDescent="0.25">
      <c r="A943" s="10"/>
      <c r="C943" s="10"/>
      <c r="F943" s="8"/>
      <c r="G943" s="10"/>
      <c r="H943" s="10"/>
      <c r="I943" s="10"/>
      <c r="J943" s="11"/>
      <c r="K943" s="10"/>
      <c r="L943" s="12"/>
    </row>
    <row r="944" spans="1:12" ht="14.25" customHeight="1" x14ac:dyDescent="0.25">
      <c r="A944" s="10"/>
      <c r="C944" s="10"/>
      <c r="F944" s="8"/>
      <c r="G944" s="10"/>
      <c r="H944" s="10"/>
      <c r="I944" s="10"/>
      <c r="J944" s="11"/>
      <c r="K944" s="10"/>
      <c r="L944" s="12"/>
    </row>
    <row r="945" spans="1:12" ht="14.25" customHeight="1" x14ac:dyDescent="0.25">
      <c r="A945" s="10"/>
      <c r="C945" s="10"/>
      <c r="F945" s="8"/>
      <c r="G945" s="10"/>
      <c r="H945" s="10"/>
      <c r="I945" s="10"/>
      <c r="J945" s="11"/>
      <c r="K945" s="10"/>
      <c r="L945" s="12"/>
    </row>
    <row r="946" spans="1:12" ht="14.25" customHeight="1" x14ac:dyDescent="0.25">
      <c r="A946" s="10"/>
      <c r="C946" s="10"/>
      <c r="F946" s="8"/>
      <c r="G946" s="10"/>
      <c r="H946" s="10"/>
      <c r="I946" s="10"/>
      <c r="J946" s="11"/>
      <c r="K946" s="10"/>
      <c r="L946" s="12"/>
    </row>
    <row r="947" spans="1:12" ht="14.25" customHeight="1" x14ac:dyDescent="0.25">
      <c r="A947" s="10"/>
      <c r="C947" s="10"/>
      <c r="F947" s="8"/>
      <c r="G947" s="10"/>
      <c r="H947" s="10"/>
      <c r="I947" s="10"/>
      <c r="J947" s="11"/>
      <c r="K947" s="10"/>
      <c r="L947" s="12"/>
    </row>
    <row r="948" spans="1:12" ht="14.25" customHeight="1" x14ac:dyDescent="0.25">
      <c r="A948" s="10"/>
      <c r="C948" s="10"/>
      <c r="F948" s="8"/>
      <c r="G948" s="10"/>
      <c r="H948" s="10"/>
      <c r="I948" s="10"/>
      <c r="J948" s="11"/>
      <c r="K948" s="10"/>
      <c r="L948" s="12"/>
    </row>
    <row r="949" spans="1:12" ht="14.25" customHeight="1" x14ac:dyDescent="0.25">
      <c r="A949" s="10"/>
      <c r="C949" s="10"/>
      <c r="F949" s="8"/>
      <c r="G949" s="10"/>
      <c r="H949" s="10"/>
      <c r="I949" s="10"/>
      <c r="J949" s="11"/>
      <c r="K949" s="10"/>
      <c r="L949" s="12"/>
    </row>
    <row r="950" spans="1:12" ht="14.25" customHeight="1" x14ac:dyDescent="0.25">
      <c r="A950" s="10"/>
      <c r="C950" s="10"/>
      <c r="F950" s="8"/>
      <c r="G950" s="10"/>
      <c r="H950" s="10"/>
      <c r="I950" s="10"/>
      <c r="J950" s="11"/>
      <c r="K950" s="10"/>
      <c r="L950" s="12"/>
    </row>
    <row r="951" spans="1:12" ht="14.25" customHeight="1" x14ac:dyDescent="0.25">
      <c r="A951" s="10"/>
      <c r="C951" s="10"/>
      <c r="F951" s="8"/>
      <c r="G951" s="10"/>
      <c r="H951" s="10"/>
      <c r="I951" s="10"/>
      <c r="J951" s="11"/>
      <c r="K951" s="10"/>
      <c r="L951" s="12"/>
    </row>
    <row r="952" spans="1:12" ht="14.25" customHeight="1" x14ac:dyDescent="0.25">
      <c r="A952" s="10"/>
      <c r="C952" s="10"/>
      <c r="F952" s="8"/>
      <c r="G952" s="10"/>
      <c r="H952" s="10"/>
      <c r="I952" s="10"/>
      <c r="J952" s="11"/>
      <c r="K952" s="10"/>
      <c r="L952" s="12"/>
    </row>
    <row r="953" spans="1:12" ht="14.25" customHeight="1" x14ac:dyDescent="0.25">
      <c r="A953" s="10"/>
      <c r="C953" s="10"/>
      <c r="F953" s="8"/>
      <c r="G953" s="10"/>
      <c r="H953" s="10"/>
      <c r="I953" s="10"/>
      <c r="J953" s="11"/>
      <c r="K953" s="10"/>
      <c r="L953" s="12"/>
    </row>
    <row r="954" spans="1:12" ht="14.25" customHeight="1" x14ac:dyDescent="0.25">
      <c r="A954" s="10"/>
      <c r="C954" s="10"/>
      <c r="F954" s="8"/>
      <c r="G954" s="10"/>
      <c r="H954" s="10"/>
      <c r="I954" s="10"/>
      <c r="J954" s="11"/>
      <c r="K954" s="10"/>
      <c r="L954" s="12"/>
    </row>
    <row r="955" spans="1:12" ht="14.25" customHeight="1" x14ac:dyDescent="0.25">
      <c r="A955" s="10"/>
      <c r="C955" s="10"/>
      <c r="F955" s="8"/>
      <c r="G955" s="10"/>
      <c r="H955" s="10"/>
      <c r="I955" s="10"/>
      <c r="J955" s="11"/>
      <c r="K955" s="10"/>
      <c r="L955" s="12"/>
    </row>
    <row r="956" spans="1:12" ht="14.25" customHeight="1" x14ac:dyDescent="0.25">
      <c r="A956" s="10"/>
      <c r="C956" s="10"/>
      <c r="F956" s="8"/>
      <c r="G956" s="10"/>
      <c r="H956" s="10"/>
      <c r="I956" s="10"/>
      <c r="J956" s="11"/>
      <c r="K956" s="10"/>
      <c r="L956" s="12"/>
    </row>
    <row r="957" spans="1:12" ht="14.25" customHeight="1" x14ac:dyDescent="0.25">
      <c r="A957" s="10"/>
      <c r="C957" s="10"/>
      <c r="F957" s="8"/>
      <c r="G957" s="10"/>
      <c r="H957" s="10"/>
      <c r="I957" s="10"/>
      <c r="J957" s="11"/>
      <c r="K957" s="10"/>
      <c r="L957" s="12"/>
    </row>
    <row r="958" spans="1:12" ht="14.25" customHeight="1" x14ac:dyDescent="0.25">
      <c r="A958" s="10"/>
      <c r="C958" s="10"/>
      <c r="F958" s="8"/>
      <c r="G958" s="10"/>
      <c r="H958" s="10"/>
      <c r="I958" s="10"/>
      <c r="J958" s="11"/>
      <c r="K958" s="10"/>
      <c r="L958" s="12"/>
    </row>
    <row r="959" spans="1:12" ht="14.25" customHeight="1" x14ac:dyDescent="0.25">
      <c r="A959" s="10"/>
      <c r="C959" s="10"/>
      <c r="F959" s="8"/>
      <c r="G959" s="10"/>
      <c r="H959" s="10"/>
      <c r="I959" s="10"/>
      <c r="J959" s="11"/>
      <c r="K959" s="10"/>
      <c r="L959" s="12"/>
    </row>
    <row r="960" spans="1:12" ht="14.25" customHeight="1" x14ac:dyDescent="0.25">
      <c r="A960" s="10"/>
      <c r="C960" s="10"/>
      <c r="F960" s="8"/>
      <c r="G960" s="10"/>
      <c r="H960" s="10"/>
      <c r="I960" s="10"/>
      <c r="J960" s="11"/>
      <c r="K960" s="10"/>
      <c r="L960" s="12"/>
    </row>
    <row r="961" spans="1:12" ht="14.25" customHeight="1" x14ac:dyDescent="0.25">
      <c r="A961" s="10"/>
      <c r="C961" s="10"/>
      <c r="F961" s="8"/>
      <c r="G961" s="10"/>
      <c r="H961" s="10"/>
      <c r="I961" s="10"/>
      <c r="J961" s="11"/>
      <c r="K961" s="10"/>
      <c r="L961" s="12"/>
    </row>
    <row r="962" spans="1:12" ht="14.25" customHeight="1" x14ac:dyDescent="0.25">
      <c r="A962" s="10"/>
      <c r="C962" s="10"/>
      <c r="F962" s="8"/>
      <c r="G962" s="10"/>
      <c r="H962" s="10"/>
      <c r="I962" s="10"/>
      <c r="J962" s="11"/>
      <c r="K962" s="10"/>
      <c r="L962" s="12"/>
    </row>
    <row r="963" spans="1:12" ht="14.25" customHeight="1" x14ac:dyDescent="0.25">
      <c r="A963" s="10"/>
      <c r="C963" s="10"/>
      <c r="F963" s="8"/>
      <c r="G963" s="10"/>
      <c r="H963" s="10"/>
      <c r="I963" s="10"/>
      <c r="J963" s="11"/>
      <c r="K963" s="10"/>
      <c r="L963" s="12"/>
    </row>
    <row r="964" spans="1:12" ht="14.25" customHeight="1" x14ac:dyDescent="0.25">
      <c r="A964" s="10"/>
      <c r="C964" s="10"/>
      <c r="F964" s="8"/>
      <c r="G964" s="10"/>
      <c r="H964" s="10"/>
      <c r="I964" s="10"/>
      <c r="J964" s="11"/>
      <c r="K964" s="10"/>
      <c r="L964" s="12"/>
    </row>
    <row r="965" spans="1:12" ht="14.25" customHeight="1" x14ac:dyDescent="0.25">
      <c r="A965" s="10"/>
      <c r="C965" s="10"/>
      <c r="F965" s="8"/>
      <c r="G965" s="10"/>
      <c r="H965" s="10"/>
      <c r="I965" s="10"/>
      <c r="J965" s="11"/>
      <c r="K965" s="10"/>
      <c r="L965" s="12"/>
    </row>
    <row r="966" spans="1:12" ht="14.25" customHeight="1" x14ac:dyDescent="0.25">
      <c r="A966" s="10"/>
      <c r="C966" s="10"/>
      <c r="F966" s="8"/>
      <c r="G966" s="10"/>
      <c r="H966" s="10"/>
      <c r="I966" s="10"/>
      <c r="J966" s="11"/>
      <c r="K966" s="10"/>
      <c r="L966" s="12"/>
    </row>
    <row r="967" spans="1:12" ht="14.25" customHeight="1" x14ac:dyDescent="0.25">
      <c r="A967" s="10"/>
      <c r="C967" s="10"/>
      <c r="F967" s="8"/>
      <c r="G967" s="10"/>
      <c r="H967" s="10"/>
      <c r="I967" s="10"/>
      <c r="J967" s="11"/>
      <c r="K967" s="10"/>
      <c r="L967" s="12"/>
    </row>
    <row r="968" spans="1:12" ht="14.25" customHeight="1" x14ac:dyDescent="0.25">
      <c r="A968" s="10"/>
      <c r="C968" s="10"/>
      <c r="F968" s="8"/>
      <c r="G968" s="10"/>
      <c r="H968" s="10"/>
      <c r="I968" s="10"/>
      <c r="J968" s="11"/>
      <c r="K968" s="10"/>
      <c r="L968" s="12"/>
    </row>
    <row r="969" spans="1:12" ht="14.25" customHeight="1" x14ac:dyDescent="0.25">
      <c r="A969" s="10"/>
      <c r="C969" s="10"/>
      <c r="F969" s="8"/>
      <c r="G969" s="10"/>
      <c r="H969" s="10"/>
      <c r="I969" s="10"/>
      <c r="J969" s="11"/>
      <c r="K969" s="10"/>
      <c r="L969" s="12"/>
    </row>
    <row r="970" spans="1:12" ht="14.25" customHeight="1" x14ac:dyDescent="0.25">
      <c r="A970" s="10"/>
      <c r="C970" s="10"/>
      <c r="F970" s="8"/>
      <c r="G970" s="10"/>
      <c r="H970" s="10"/>
      <c r="I970" s="10"/>
      <c r="J970" s="11"/>
      <c r="K970" s="10"/>
      <c r="L970" s="12"/>
    </row>
    <row r="971" spans="1:12" ht="14.25" customHeight="1" x14ac:dyDescent="0.25">
      <c r="A971" s="10"/>
      <c r="C971" s="10"/>
      <c r="F971" s="8"/>
      <c r="G971" s="10"/>
      <c r="H971" s="10"/>
      <c r="I971" s="10"/>
      <c r="J971" s="11"/>
      <c r="K971" s="10"/>
      <c r="L971" s="12"/>
    </row>
    <row r="972" spans="1:12" ht="14.25" customHeight="1" x14ac:dyDescent="0.25">
      <c r="A972" s="10"/>
      <c r="C972" s="10"/>
      <c r="F972" s="8"/>
      <c r="G972" s="10"/>
      <c r="H972" s="10"/>
      <c r="I972" s="10"/>
      <c r="J972" s="11"/>
      <c r="K972" s="10"/>
      <c r="L972" s="12"/>
    </row>
    <row r="973" spans="1:12" ht="14.25" customHeight="1" x14ac:dyDescent="0.25">
      <c r="A973" s="10"/>
      <c r="C973" s="10"/>
      <c r="F973" s="8"/>
      <c r="G973" s="10"/>
      <c r="H973" s="10"/>
      <c r="I973" s="10"/>
      <c r="J973" s="11"/>
      <c r="K973" s="10"/>
      <c r="L973" s="12"/>
    </row>
    <row r="974" spans="1:12" ht="14.25" customHeight="1" x14ac:dyDescent="0.25">
      <c r="A974" s="10"/>
      <c r="C974" s="10"/>
      <c r="F974" s="8"/>
      <c r="G974" s="10"/>
      <c r="H974" s="10"/>
      <c r="I974" s="10"/>
      <c r="J974" s="11"/>
      <c r="K974" s="10"/>
      <c r="L974" s="12"/>
    </row>
    <row r="975" spans="1:12" ht="14.25" customHeight="1" x14ac:dyDescent="0.25">
      <c r="A975" s="10"/>
      <c r="C975" s="10"/>
      <c r="F975" s="8"/>
      <c r="G975" s="10"/>
      <c r="H975" s="10"/>
      <c r="I975" s="10"/>
      <c r="J975" s="11"/>
      <c r="K975" s="10"/>
      <c r="L975" s="12"/>
    </row>
    <row r="976" spans="1:12" ht="14.25" customHeight="1" x14ac:dyDescent="0.25">
      <c r="A976" s="10"/>
      <c r="C976" s="10"/>
      <c r="F976" s="8"/>
      <c r="G976" s="10"/>
      <c r="H976" s="10"/>
      <c r="I976" s="10"/>
      <c r="J976" s="11"/>
      <c r="K976" s="10"/>
      <c r="L976" s="12"/>
    </row>
    <row r="977" spans="1:12" ht="14.25" customHeight="1" x14ac:dyDescent="0.25">
      <c r="A977" s="10"/>
      <c r="C977" s="10"/>
      <c r="F977" s="8"/>
      <c r="G977" s="10"/>
      <c r="H977" s="10"/>
      <c r="I977" s="10"/>
      <c r="J977" s="11"/>
      <c r="K977" s="10"/>
      <c r="L977" s="12"/>
    </row>
    <row r="978" spans="1:12" ht="14.25" customHeight="1" x14ac:dyDescent="0.25">
      <c r="A978" s="10"/>
      <c r="C978" s="10"/>
      <c r="F978" s="8"/>
      <c r="G978" s="10"/>
      <c r="H978" s="10"/>
      <c r="I978" s="10"/>
      <c r="J978" s="11"/>
      <c r="K978" s="10"/>
      <c r="L978" s="12"/>
    </row>
    <row r="979" spans="1:12" ht="14.25" customHeight="1" x14ac:dyDescent="0.25">
      <c r="A979" s="10"/>
      <c r="C979" s="10"/>
      <c r="F979" s="8"/>
      <c r="G979" s="10"/>
      <c r="H979" s="10"/>
      <c r="I979" s="10"/>
      <c r="J979" s="11"/>
      <c r="K979" s="10"/>
      <c r="L979" s="12"/>
    </row>
    <row r="980" spans="1:12" ht="14.25" customHeight="1" x14ac:dyDescent="0.25">
      <c r="A980" s="10"/>
      <c r="C980" s="10"/>
      <c r="F980" s="8"/>
      <c r="G980" s="10"/>
      <c r="H980" s="10"/>
      <c r="I980" s="10"/>
      <c r="J980" s="11"/>
      <c r="K980" s="10"/>
      <c r="L980" s="12"/>
    </row>
    <row r="981" spans="1:12" ht="14.25" customHeight="1" x14ac:dyDescent="0.25">
      <c r="A981" s="10"/>
      <c r="C981" s="10"/>
      <c r="F981" s="8"/>
      <c r="G981" s="10"/>
      <c r="H981" s="10"/>
      <c r="I981" s="10"/>
      <c r="J981" s="11"/>
      <c r="K981" s="10"/>
      <c r="L981" s="12"/>
    </row>
    <row r="982" spans="1:12" ht="14.25" customHeight="1" x14ac:dyDescent="0.25">
      <c r="A982" s="10"/>
      <c r="C982" s="10"/>
      <c r="F982" s="8"/>
      <c r="G982" s="10"/>
      <c r="H982" s="10"/>
      <c r="I982" s="10"/>
      <c r="J982" s="11"/>
      <c r="K982" s="10"/>
      <c r="L982" s="12"/>
    </row>
    <row r="983" spans="1:12" ht="14.25" customHeight="1" x14ac:dyDescent="0.25">
      <c r="A983" s="10"/>
      <c r="C983" s="10"/>
      <c r="F983" s="8"/>
      <c r="G983" s="10"/>
      <c r="H983" s="10"/>
      <c r="I983" s="10"/>
      <c r="J983" s="11"/>
      <c r="K983" s="10"/>
      <c r="L983" s="12"/>
    </row>
    <row r="984" spans="1:12" ht="14.25" customHeight="1" x14ac:dyDescent="0.25">
      <c r="A984" s="10"/>
      <c r="C984" s="10"/>
      <c r="F984" s="8"/>
      <c r="G984" s="10"/>
      <c r="H984" s="10"/>
      <c r="I984" s="10"/>
      <c r="J984" s="11"/>
      <c r="K984" s="10"/>
      <c r="L984" s="12"/>
    </row>
    <row r="985" spans="1:12" ht="14.25" customHeight="1" x14ac:dyDescent="0.25">
      <c r="A985" s="10"/>
      <c r="C985" s="10"/>
      <c r="F985" s="8"/>
      <c r="G985" s="10"/>
      <c r="H985" s="10"/>
      <c r="I985" s="10"/>
      <c r="J985" s="11"/>
      <c r="K985" s="10"/>
      <c r="L985" s="12"/>
    </row>
    <row r="986" spans="1:12" ht="14.25" customHeight="1" x14ac:dyDescent="0.25">
      <c r="A986" s="10"/>
      <c r="C986" s="10"/>
      <c r="F986" s="8"/>
      <c r="G986" s="10"/>
      <c r="H986" s="10"/>
      <c r="I986" s="10"/>
      <c r="J986" s="11"/>
      <c r="K986" s="10"/>
      <c r="L986" s="12"/>
    </row>
    <row r="987" spans="1:12" ht="14.25" customHeight="1" x14ac:dyDescent="0.25">
      <c r="A987" s="10"/>
      <c r="C987" s="10"/>
      <c r="F987" s="8"/>
      <c r="G987" s="10"/>
      <c r="H987" s="10"/>
      <c r="I987" s="10"/>
      <c r="J987" s="11"/>
      <c r="K987" s="10"/>
      <c r="L987" s="12"/>
    </row>
    <row r="988" spans="1:12" ht="14.25" customHeight="1" x14ac:dyDescent="0.25">
      <c r="A988" s="10"/>
      <c r="C988" s="10"/>
      <c r="F988" s="8"/>
      <c r="G988" s="10"/>
      <c r="H988" s="10"/>
      <c r="I988" s="10"/>
      <c r="J988" s="11"/>
      <c r="K988" s="10"/>
      <c r="L988" s="12"/>
    </row>
    <row r="989" spans="1:12" ht="14.25" customHeight="1" x14ac:dyDescent="0.25">
      <c r="A989" s="10"/>
      <c r="C989" s="10"/>
      <c r="F989" s="8"/>
      <c r="G989" s="10"/>
      <c r="H989" s="10"/>
      <c r="I989" s="10"/>
      <c r="J989" s="11"/>
      <c r="K989" s="10"/>
      <c r="L989" s="12"/>
    </row>
    <row r="990" spans="1:12" ht="14.25" customHeight="1" x14ac:dyDescent="0.25">
      <c r="A990" s="10"/>
      <c r="C990" s="10"/>
      <c r="F990" s="8"/>
      <c r="G990" s="10"/>
      <c r="H990" s="10"/>
      <c r="I990" s="10"/>
      <c r="J990" s="11"/>
      <c r="K990" s="10"/>
      <c r="L990" s="12"/>
    </row>
    <row r="991" spans="1:12" ht="14.25" customHeight="1" x14ac:dyDescent="0.25">
      <c r="A991" s="10"/>
      <c r="C991" s="10"/>
      <c r="F991" s="8"/>
      <c r="G991" s="10"/>
      <c r="H991" s="10"/>
      <c r="I991" s="10"/>
      <c r="J991" s="11"/>
      <c r="K991" s="10"/>
      <c r="L991" s="12"/>
    </row>
    <row r="992" spans="1:12" ht="14.25" customHeight="1" x14ac:dyDescent="0.25">
      <c r="A992" s="10"/>
      <c r="C992" s="10"/>
      <c r="F992" s="8"/>
      <c r="G992" s="10"/>
      <c r="H992" s="10"/>
      <c r="I992" s="10"/>
      <c r="J992" s="11"/>
      <c r="K992" s="10"/>
      <c r="L992" s="12"/>
    </row>
    <row r="993" spans="1:12" ht="14.25" customHeight="1" x14ac:dyDescent="0.25">
      <c r="A993" s="10"/>
      <c r="C993" s="10"/>
      <c r="F993" s="8"/>
      <c r="G993" s="10"/>
      <c r="H993" s="10"/>
      <c r="I993" s="10"/>
      <c r="J993" s="11"/>
      <c r="K993" s="10"/>
      <c r="L993" s="12"/>
    </row>
    <row r="994" spans="1:12" ht="14.25" customHeight="1" x14ac:dyDescent="0.25">
      <c r="A994" s="10"/>
      <c r="C994" s="10"/>
      <c r="F994" s="8"/>
      <c r="G994" s="10"/>
      <c r="H994" s="10"/>
      <c r="I994" s="10"/>
      <c r="J994" s="11"/>
      <c r="K994" s="10"/>
      <c r="L994" s="12"/>
    </row>
    <row r="995" spans="1:12" ht="14.25" customHeight="1" x14ac:dyDescent="0.25">
      <c r="A995" s="10"/>
      <c r="C995" s="10"/>
      <c r="F995" s="8"/>
      <c r="G995" s="10"/>
      <c r="H995" s="10"/>
      <c r="I995" s="10"/>
      <c r="J995" s="11"/>
      <c r="K995" s="10"/>
      <c r="L995" s="12"/>
    </row>
    <row r="996" spans="1:12" ht="14.25" customHeight="1" x14ac:dyDescent="0.25">
      <c r="A996" s="10"/>
      <c r="C996" s="10"/>
      <c r="F996" s="8"/>
      <c r="G996" s="10"/>
      <c r="H996" s="10"/>
      <c r="I996" s="10"/>
      <c r="J996" s="11"/>
      <c r="K996" s="10"/>
      <c r="L996" s="12"/>
    </row>
    <row r="997" spans="1:12" ht="14.25" customHeight="1" x14ac:dyDescent="0.25">
      <c r="A997" s="10"/>
      <c r="C997" s="10"/>
      <c r="F997" s="8"/>
      <c r="G997" s="10"/>
      <c r="H997" s="10"/>
      <c r="I997" s="10"/>
      <c r="J997" s="11"/>
      <c r="K997" s="10"/>
      <c r="L997" s="12"/>
    </row>
    <row r="998" spans="1:12" ht="14.25" customHeight="1" x14ac:dyDescent="0.25">
      <c r="A998" s="10"/>
      <c r="C998" s="10"/>
      <c r="F998" s="8"/>
      <c r="G998" s="10"/>
      <c r="H998" s="10"/>
      <c r="I998" s="10"/>
      <c r="J998" s="11"/>
      <c r="K998" s="10"/>
      <c r="L998" s="12"/>
    </row>
    <row r="999" spans="1:12" ht="14.25" customHeight="1" x14ac:dyDescent="0.25">
      <c r="A999" s="10"/>
      <c r="C999" s="10"/>
      <c r="F999" s="8"/>
      <c r="G999" s="10"/>
      <c r="H999" s="10"/>
      <c r="I999" s="10"/>
      <c r="J999" s="11"/>
      <c r="K999" s="10"/>
      <c r="L999" s="12"/>
    </row>
    <row r="1000" spans="1:12" ht="14.25" customHeight="1" x14ac:dyDescent="0.25">
      <c r="A1000" s="10"/>
      <c r="C1000" s="10"/>
      <c r="F1000" s="8"/>
      <c r="G1000" s="10"/>
      <c r="H1000" s="10"/>
      <c r="I1000" s="10"/>
      <c r="J1000" s="11"/>
      <c r="K1000" s="10"/>
      <c r="L1000" s="12"/>
    </row>
    <row r="1001" spans="1:12" ht="14.25" customHeight="1" x14ac:dyDescent="0.25">
      <c r="A1001" s="10"/>
      <c r="C1001" s="10"/>
      <c r="F1001" s="8"/>
      <c r="G1001" s="10"/>
      <c r="H1001" s="10"/>
      <c r="I1001" s="10"/>
      <c r="J1001" s="11"/>
      <c r="K1001" s="10"/>
      <c r="L1001" s="12"/>
    </row>
    <row r="1002" spans="1:12" ht="14.25" customHeight="1" x14ac:dyDescent="0.25">
      <c r="A1002" s="10"/>
      <c r="C1002" s="10"/>
      <c r="F1002" s="8"/>
      <c r="G1002" s="10"/>
      <c r="H1002" s="10"/>
      <c r="I1002" s="10"/>
      <c r="J1002" s="11"/>
      <c r="K1002" s="10"/>
      <c r="L1002" s="12"/>
    </row>
    <row r="1003" spans="1:12" ht="14.25" customHeight="1" x14ac:dyDescent="0.25">
      <c r="A1003" s="10"/>
      <c r="C1003" s="10"/>
      <c r="F1003" s="8"/>
      <c r="G1003" s="10"/>
      <c r="H1003" s="10"/>
      <c r="I1003" s="10"/>
      <c r="J1003" s="11"/>
      <c r="K1003" s="10"/>
      <c r="L1003" s="12"/>
    </row>
    <row r="1004" spans="1:12" ht="14.25" customHeight="1" x14ac:dyDescent="0.25">
      <c r="A1004" s="10"/>
      <c r="C1004" s="10"/>
      <c r="F1004" s="8"/>
      <c r="G1004" s="10"/>
      <c r="H1004" s="10"/>
      <c r="I1004" s="10"/>
      <c r="J1004" s="11"/>
      <c r="K1004" s="10"/>
      <c r="L1004" s="12"/>
    </row>
    <row r="1005" spans="1:12" ht="14.25" customHeight="1" x14ac:dyDescent="0.25">
      <c r="A1005" s="10"/>
      <c r="C1005" s="10"/>
      <c r="F1005" s="8"/>
      <c r="G1005" s="10"/>
      <c r="H1005" s="10"/>
      <c r="I1005" s="10"/>
      <c r="J1005" s="11"/>
      <c r="K1005" s="10"/>
      <c r="L1005" s="12"/>
    </row>
    <row r="1006" spans="1:12" ht="14.25" customHeight="1" x14ac:dyDescent="0.25">
      <c r="A1006" s="10"/>
      <c r="C1006" s="10"/>
      <c r="F1006" s="8"/>
      <c r="G1006" s="10"/>
      <c r="H1006" s="10"/>
      <c r="I1006" s="10"/>
      <c r="J1006" s="11"/>
      <c r="K1006" s="10"/>
      <c r="L1006" s="12"/>
    </row>
    <row r="1007" spans="1:12" ht="14.25" customHeight="1" x14ac:dyDescent="0.25">
      <c r="A1007" s="10"/>
      <c r="C1007" s="10"/>
      <c r="F1007" s="8"/>
      <c r="G1007" s="10"/>
      <c r="H1007" s="10"/>
      <c r="I1007" s="10"/>
      <c r="J1007" s="11"/>
      <c r="K1007" s="10"/>
      <c r="L1007" s="12"/>
    </row>
    <row r="1008" spans="1:12" ht="14.25" customHeight="1" x14ac:dyDescent="0.25">
      <c r="A1008" s="10"/>
      <c r="C1008" s="10"/>
      <c r="F1008" s="8"/>
      <c r="G1008" s="10"/>
      <c r="H1008" s="10"/>
      <c r="I1008" s="10"/>
      <c r="J1008" s="11"/>
      <c r="K1008" s="10"/>
      <c r="L1008" s="12"/>
    </row>
    <row r="1009" spans="1:12" ht="14.25" customHeight="1" x14ac:dyDescent="0.25">
      <c r="A1009" s="10"/>
      <c r="C1009" s="10"/>
      <c r="F1009" s="8"/>
      <c r="G1009" s="10"/>
      <c r="H1009" s="10"/>
      <c r="I1009" s="10"/>
      <c r="J1009" s="11"/>
      <c r="K1009" s="10"/>
      <c r="L1009" s="12"/>
    </row>
    <row r="1010" spans="1:12" ht="14.25" customHeight="1" x14ac:dyDescent="0.25">
      <c r="A1010" s="10"/>
      <c r="C1010" s="10"/>
      <c r="F1010" s="8"/>
      <c r="G1010" s="10"/>
      <c r="H1010" s="10"/>
      <c r="I1010" s="10"/>
      <c r="J1010" s="11"/>
      <c r="K1010" s="10"/>
      <c r="L1010" s="12"/>
    </row>
    <row r="1011" spans="1:12" ht="14.25" customHeight="1" x14ac:dyDescent="0.25">
      <c r="A1011" s="10"/>
      <c r="C1011" s="10"/>
      <c r="F1011" s="8"/>
      <c r="G1011" s="10"/>
      <c r="H1011" s="10"/>
      <c r="I1011" s="10"/>
      <c r="J1011" s="11"/>
      <c r="K1011" s="10"/>
      <c r="L1011" s="12"/>
    </row>
    <row r="1012" spans="1:12" ht="14.25" customHeight="1" x14ac:dyDescent="0.25">
      <c r="A1012" s="10"/>
      <c r="C1012" s="10"/>
      <c r="F1012" s="8"/>
      <c r="G1012" s="10"/>
      <c r="H1012" s="10"/>
      <c r="I1012" s="10"/>
      <c r="J1012" s="11"/>
      <c r="K1012" s="10"/>
      <c r="L1012" s="12"/>
    </row>
    <row r="1013" spans="1:12" ht="14.25" customHeight="1" x14ac:dyDescent="0.25">
      <c r="A1013" s="10"/>
      <c r="C1013" s="10"/>
      <c r="F1013" s="8"/>
      <c r="G1013" s="10"/>
      <c r="H1013" s="10"/>
      <c r="I1013" s="10"/>
      <c r="J1013" s="11"/>
      <c r="K1013" s="10"/>
      <c r="L1013" s="12"/>
    </row>
    <row r="1014" spans="1:12" ht="14.25" customHeight="1" x14ac:dyDescent="0.25">
      <c r="A1014" s="10"/>
      <c r="C1014" s="10"/>
      <c r="F1014" s="8"/>
      <c r="G1014" s="10"/>
      <c r="H1014" s="10"/>
      <c r="I1014" s="10"/>
      <c r="J1014" s="11"/>
      <c r="K1014" s="10"/>
      <c r="L1014" s="12"/>
    </row>
    <row r="1015" spans="1:12" ht="14.25" customHeight="1" x14ac:dyDescent="0.25">
      <c r="A1015" s="10"/>
      <c r="C1015" s="10"/>
      <c r="F1015" s="8"/>
      <c r="G1015" s="10"/>
      <c r="H1015" s="10"/>
      <c r="I1015" s="10"/>
      <c r="J1015" s="11"/>
      <c r="K1015" s="10"/>
      <c r="L1015" s="12"/>
    </row>
    <row r="1016" spans="1:12" ht="14.25" customHeight="1" x14ac:dyDescent="0.25">
      <c r="A1016" s="10"/>
      <c r="C1016" s="10"/>
      <c r="F1016" s="8"/>
      <c r="G1016" s="10"/>
      <c r="H1016" s="10"/>
      <c r="I1016" s="10"/>
      <c r="J1016" s="11"/>
      <c r="K1016" s="10"/>
      <c r="L1016" s="12"/>
    </row>
    <row r="1017" spans="1:12" ht="14.25" customHeight="1" x14ac:dyDescent="0.25">
      <c r="A1017" s="10"/>
      <c r="C1017" s="10"/>
      <c r="F1017" s="8"/>
      <c r="G1017" s="10"/>
      <c r="H1017" s="10"/>
      <c r="I1017" s="10"/>
      <c r="J1017" s="11"/>
      <c r="K1017" s="10"/>
      <c r="L1017" s="12"/>
    </row>
    <row r="1018" spans="1:12" ht="14.25" customHeight="1" x14ac:dyDescent="0.25">
      <c r="A1018" s="10"/>
      <c r="C1018" s="10"/>
      <c r="F1018" s="8"/>
      <c r="G1018" s="10"/>
      <c r="H1018" s="10"/>
      <c r="I1018" s="10"/>
      <c r="J1018" s="11"/>
      <c r="K1018" s="10"/>
      <c r="L1018" s="12"/>
    </row>
    <row r="1019" spans="1:12" ht="14.25" customHeight="1" x14ac:dyDescent="0.25">
      <c r="A1019" s="10"/>
      <c r="C1019" s="10"/>
      <c r="F1019" s="8"/>
      <c r="G1019" s="10"/>
      <c r="H1019" s="10"/>
      <c r="I1019" s="10"/>
      <c r="J1019" s="11"/>
      <c r="K1019" s="10"/>
      <c r="L1019" s="12"/>
    </row>
    <row r="1020" spans="1:12" ht="14.25" customHeight="1" x14ac:dyDescent="0.25">
      <c r="A1020" s="10"/>
      <c r="C1020" s="10"/>
      <c r="F1020" s="8"/>
      <c r="G1020" s="10"/>
      <c r="H1020" s="10"/>
      <c r="I1020" s="10"/>
      <c r="J1020" s="11"/>
      <c r="K1020" s="10"/>
      <c r="L1020" s="12"/>
    </row>
    <row r="1021" spans="1:12" ht="14.25" customHeight="1" x14ac:dyDescent="0.25">
      <c r="A1021" s="10"/>
      <c r="C1021" s="10"/>
      <c r="F1021" s="8"/>
      <c r="G1021" s="10"/>
      <c r="H1021" s="10"/>
      <c r="I1021" s="10"/>
      <c r="J1021" s="11"/>
      <c r="K1021" s="10"/>
      <c r="L1021" s="12"/>
    </row>
    <row r="1022" spans="1:12" ht="14.25" customHeight="1" x14ac:dyDescent="0.25">
      <c r="A1022" s="10"/>
      <c r="C1022" s="10"/>
      <c r="F1022" s="8"/>
      <c r="G1022" s="10"/>
      <c r="H1022" s="10"/>
      <c r="I1022" s="10"/>
      <c r="J1022" s="11"/>
      <c r="K1022" s="10"/>
      <c r="L1022" s="12"/>
    </row>
    <row r="1023" spans="1:12" ht="14.25" customHeight="1" x14ac:dyDescent="0.25">
      <c r="A1023" s="10"/>
      <c r="C1023" s="10"/>
      <c r="F1023" s="8"/>
      <c r="G1023" s="10"/>
      <c r="H1023" s="10"/>
      <c r="I1023" s="10"/>
      <c r="J1023" s="11"/>
      <c r="K1023" s="10"/>
      <c r="L1023" s="12"/>
    </row>
    <row r="1024" spans="1:12" ht="14.25" customHeight="1" x14ac:dyDescent="0.25">
      <c r="A1024" s="10"/>
      <c r="C1024" s="10"/>
      <c r="F1024" s="8"/>
      <c r="G1024" s="10"/>
      <c r="H1024" s="10"/>
      <c r="I1024" s="10"/>
      <c r="J1024" s="11"/>
      <c r="K1024" s="10"/>
      <c r="L1024" s="12"/>
    </row>
    <row r="1025" spans="1:12" ht="14.25" customHeight="1" x14ac:dyDescent="0.25">
      <c r="A1025" s="10"/>
      <c r="C1025" s="10"/>
      <c r="F1025" s="8"/>
      <c r="G1025" s="10"/>
      <c r="H1025" s="10"/>
      <c r="I1025" s="10"/>
      <c r="J1025" s="11"/>
      <c r="K1025" s="10"/>
      <c r="L1025" s="12"/>
    </row>
    <row r="1026" spans="1:12" ht="14.25" customHeight="1" x14ac:dyDescent="0.25">
      <c r="A1026" s="10"/>
      <c r="C1026" s="10"/>
      <c r="F1026" s="8"/>
      <c r="G1026" s="10"/>
      <c r="H1026" s="10"/>
      <c r="I1026" s="10"/>
      <c r="J1026" s="11"/>
      <c r="K1026" s="10"/>
      <c r="L1026" s="12"/>
    </row>
    <row r="1027" spans="1:12" ht="14.25" customHeight="1" x14ac:dyDescent="0.25">
      <c r="A1027" s="10"/>
      <c r="C1027" s="10"/>
      <c r="F1027" s="8"/>
      <c r="G1027" s="10"/>
      <c r="H1027" s="10"/>
      <c r="I1027" s="10"/>
      <c r="J1027" s="11"/>
      <c r="K1027" s="10"/>
      <c r="L1027" s="12"/>
    </row>
    <row r="1028" spans="1:12" ht="14.25" customHeight="1" x14ac:dyDescent="0.25">
      <c r="A1028" s="10"/>
      <c r="C1028" s="10"/>
      <c r="F1028" s="8"/>
      <c r="G1028" s="10"/>
      <c r="H1028" s="10"/>
      <c r="I1028" s="10"/>
      <c r="J1028" s="11"/>
      <c r="K1028" s="10"/>
      <c r="L1028" s="12"/>
    </row>
    <row r="1029" spans="1:12" ht="15" customHeight="1" x14ac:dyDescent="0.25">
      <c r="A1029" s="10"/>
      <c r="C1029" s="10"/>
      <c r="F1029" s="8"/>
      <c r="G1029" s="10"/>
      <c r="H1029" s="10"/>
      <c r="I1029" s="10"/>
      <c r="J1029" s="11"/>
      <c r="K1029" s="10"/>
      <c r="L1029" s="12"/>
    </row>
    <row r="1030" spans="1:12" ht="15" customHeight="1" x14ac:dyDescent="0.25">
      <c r="A1030" s="10"/>
      <c r="C1030" s="10"/>
      <c r="F1030" s="8"/>
      <c r="G1030" s="10"/>
      <c r="H1030" s="10"/>
      <c r="I1030" s="10"/>
      <c r="J1030" s="11"/>
      <c r="K1030" s="10"/>
      <c r="L1030" s="12"/>
    </row>
    <row r="1031" spans="1:12" ht="15" customHeight="1" x14ac:dyDescent="0.25">
      <c r="A1031" s="10"/>
      <c r="C1031" s="10"/>
      <c r="F1031" s="8"/>
      <c r="G1031" s="10"/>
      <c r="H1031" s="10"/>
      <c r="I1031" s="10"/>
    </row>
  </sheetData>
  <autoFilter ref="B14:L107" xr:uid="{00000000-0001-0000-0400-000000000000}">
    <sortState xmlns:xlrd2="http://schemas.microsoft.com/office/spreadsheetml/2017/richdata2" ref="B15:L98">
      <sortCondition ref="B14:B107"/>
    </sortState>
  </autoFilter>
  <sortState xmlns:xlrd2="http://schemas.microsoft.com/office/spreadsheetml/2017/richdata2" ref="B17:L107">
    <sortCondition ref="B17:B107"/>
  </sortState>
  <mergeCells count="10">
    <mergeCell ref="A11:C11"/>
    <mergeCell ref="A13:L13"/>
    <mergeCell ref="E11:L11"/>
    <mergeCell ref="A2:L2"/>
    <mergeCell ref="A3:L3"/>
    <mergeCell ref="A4:L4"/>
    <mergeCell ref="A7:L7"/>
    <mergeCell ref="A9:C9"/>
    <mergeCell ref="E9:L9"/>
    <mergeCell ref="A5:L5"/>
  </mergeCells>
  <printOptions horizontalCentered="1"/>
  <pageMargins left="0.25" right="0.25" top="0.75" bottom="0.75" header="0.3" footer="0.3"/>
  <pageSetup paperSize="9" scale="54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7B773-DD44-4513-9F49-28DC6E6AD1C5}">
          <x14:formula1>
            <xm:f>'Referencia PT'!$D$7:$D$47</xm:f>
          </x14:formula1>
          <xm:sqref>F15:F107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71"/>
  <sheetViews>
    <sheetView showGridLines="0" workbookViewId="0">
      <selection activeCell="N16" sqref="N16"/>
    </sheetView>
  </sheetViews>
  <sheetFormatPr defaultColWidth="8.85546875" defaultRowHeight="15" x14ac:dyDescent="0.25"/>
  <cols>
    <col min="1" max="6" width="8.85546875" style="3"/>
    <col min="7" max="7" width="12.7109375" style="3" customWidth="1"/>
    <col min="8" max="8" width="8.85546875" style="3" customWidth="1"/>
    <col min="9" max="10" width="9.28515625" style="3" customWidth="1"/>
    <col min="11" max="13" width="8.85546875" style="3"/>
    <col min="14" max="14" width="48.28515625" style="3" bestFit="1" customWidth="1"/>
    <col min="15" max="16384" width="8.85546875" style="3"/>
  </cols>
  <sheetData>
    <row r="1" spans="1:10" x14ac:dyDescent="0.25">
      <c r="C1" s="130" t="str">
        <f>'RESUMO FATURAMENTO'!C1</f>
        <v>PREFEITURA MUNICIPAL DE DOM AQUINO/MT</v>
      </c>
      <c r="D1" s="130"/>
      <c r="E1" s="130"/>
      <c r="F1" s="130"/>
      <c r="G1" s="130"/>
      <c r="H1" s="130"/>
      <c r="I1" s="130"/>
      <c r="J1" s="130"/>
    </row>
    <row r="2" spans="1:10" x14ac:dyDescent="0.25">
      <c r="C2" s="130"/>
      <c r="D2" s="130"/>
      <c r="E2" s="130"/>
      <c r="F2" s="130"/>
      <c r="G2" s="130"/>
      <c r="H2" s="130"/>
      <c r="I2" s="130"/>
      <c r="J2" s="130"/>
    </row>
    <row r="3" spans="1:10" x14ac:dyDescent="0.25">
      <c r="C3" s="131" t="str">
        <f>'RESUMO FATURAMENTO'!C3</f>
        <v>TERMO DE PARCERIA Nº 001/2026</v>
      </c>
      <c r="D3" s="131"/>
      <c r="E3" s="131"/>
      <c r="F3" s="131"/>
      <c r="G3" s="131"/>
      <c r="H3" s="131"/>
      <c r="I3" s="131"/>
      <c r="J3" s="131"/>
    </row>
    <row r="4" spans="1:10" x14ac:dyDescent="0.25">
      <c r="C4" s="162" t="str">
        <f>'RESUMO FATURAMENTO'!C4</f>
        <v>SECRETARIA MUNICIPAL DE SAÚDE</v>
      </c>
      <c r="D4" s="162"/>
      <c r="E4" s="162"/>
      <c r="F4" s="162"/>
      <c r="G4" s="162"/>
      <c r="H4" s="162"/>
      <c r="I4" s="162"/>
      <c r="J4" s="162"/>
    </row>
    <row r="5" spans="1:10" x14ac:dyDescent="0.25">
      <c r="C5" s="131" t="str">
        <f>'RESUMO FATURAMENTO'!C5</f>
        <v>TERMO DE PARCERIA Nº 001/2026</v>
      </c>
      <c r="D5" s="131"/>
      <c r="E5" s="131"/>
      <c r="F5" s="131"/>
      <c r="G5" s="131"/>
      <c r="H5" s="131"/>
      <c r="I5" s="131"/>
      <c r="J5" s="131"/>
    </row>
    <row r="6" spans="1:10" x14ac:dyDescent="0.25">
      <c r="C6" s="4"/>
      <c r="D6" s="4"/>
      <c r="E6" s="4"/>
      <c r="F6" s="4"/>
      <c r="G6" s="4"/>
      <c r="H6" s="4"/>
      <c r="I6" s="4"/>
      <c r="J6" s="4"/>
    </row>
    <row r="7" spans="1:10" ht="27" customHeight="1" x14ac:dyDescent="0.25">
      <c r="A7" s="135" t="s">
        <v>20</v>
      </c>
      <c r="B7" s="135"/>
      <c r="C7" s="135"/>
      <c r="D7" s="135"/>
      <c r="E7" s="135"/>
      <c r="F7" s="135"/>
      <c r="G7" s="135"/>
      <c r="H7" s="135"/>
      <c r="I7" s="135"/>
      <c r="J7" s="135"/>
    </row>
    <row r="9" spans="1:10" x14ac:dyDescent="0.25">
      <c r="A9" s="141" t="str">
        <f>'RESUMO FATURAMENTO'!A9</f>
        <v>OSCIP. ORGANIZAÇÃO DE SAÚDE SÃO BENTO</v>
      </c>
      <c r="B9" s="141"/>
      <c r="C9" s="141"/>
      <c r="D9" s="141"/>
      <c r="E9" s="141"/>
      <c r="F9" s="141"/>
      <c r="G9" s="141"/>
      <c r="H9" s="141"/>
      <c r="I9" s="141"/>
      <c r="J9" s="141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141" t="str">
        <f>'RESUMO FATURAMENTO'!A11</f>
        <v xml:space="preserve">PROJETO FORSAÚDE – Fortalecimento da Saúde Pública Municipal   </v>
      </c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141" t="str">
        <f>'RESUMO FATURAMENTO'!A13</f>
        <v>PERÍODO. AGOSTO DE 2026</v>
      </c>
      <c r="B13" s="141"/>
      <c r="C13" s="141"/>
      <c r="D13" s="141"/>
      <c r="E13" s="141"/>
      <c r="F13" s="141"/>
      <c r="G13" s="141"/>
      <c r="H13" s="141"/>
      <c r="I13" s="141"/>
      <c r="J13" s="141"/>
    </row>
    <row r="15" spans="1:10" ht="27" customHeight="1" x14ac:dyDescent="0.25">
      <c r="A15" s="135" t="str">
        <f>'RESUMO FATURAMENTO'!A15</f>
        <v>COMPETÊNCIA. 01 A 31 DE AGOSTO DE 2026</v>
      </c>
      <c r="B15" s="135"/>
      <c r="C15" s="135"/>
      <c r="D15" s="135"/>
      <c r="E15" s="135"/>
      <c r="F15" s="135"/>
      <c r="G15" s="135"/>
      <c r="H15" s="135"/>
      <c r="I15" s="135"/>
      <c r="J15" s="135"/>
    </row>
    <row r="17" spans="1:15" s="6" customFormat="1" ht="25.15" customHeight="1" x14ac:dyDescent="0.25">
      <c r="A17" s="163" t="str">
        <f>'RESUMO FATURAMENTO'!A20</f>
        <v xml:space="preserve">     1.1 - CLT</v>
      </c>
      <c r="B17" s="163"/>
      <c r="C17" s="163"/>
      <c r="D17" s="163"/>
      <c r="E17" s="163"/>
      <c r="F17" s="163"/>
      <c r="G17" s="163"/>
      <c r="H17" s="163"/>
      <c r="I17" s="164">
        <f>SUM(I19:J30)</f>
        <v>3855.4200000000005</v>
      </c>
      <c r="J17" s="164"/>
      <c r="O17" s="3"/>
    </row>
    <row r="18" spans="1:15" s="45" customFormat="1" ht="20.45" customHeight="1" x14ac:dyDescent="0.25">
      <c r="A18" s="165" t="s">
        <v>21</v>
      </c>
      <c r="B18" s="165"/>
      <c r="C18" s="165"/>
      <c r="D18" s="165"/>
      <c r="E18" s="165"/>
      <c r="F18" s="165"/>
      <c r="G18" s="165"/>
      <c r="H18" s="44" t="s">
        <v>22</v>
      </c>
      <c r="I18" s="165" t="s">
        <v>9</v>
      </c>
      <c r="J18" s="165"/>
      <c r="L18" s="6"/>
      <c r="O18" s="3"/>
    </row>
    <row r="19" spans="1:15" x14ac:dyDescent="0.25">
      <c r="A19" s="166" t="s">
        <v>111</v>
      </c>
      <c r="B19" s="167"/>
      <c r="C19" s="167"/>
      <c r="D19" s="167"/>
      <c r="E19" s="167"/>
      <c r="F19" s="167"/>
      <c r="G19" s="167"/>
      <c r="H19" s="46">
        <f>(COUNTIFS('DETALHAMENTO CLT'!D:D,A19))+(COUNTIFS('DETALHAMENTO PF'!C:C,A19))</f>
        <v>9</v>
      </c>
      <c r="I19" s="168">
        <f>((SUMIFS('DETALHAMENTO CLT'!Y:Y,'DETALHAMENTO CLT'!D:D,A19))+(SUMIFS('DETALHAMENTO PF'!U:U,'DETALHAMENTO PF'!C:C,A19)))</f>
        <v>3855.4200000000005</v>
      </c>
      <c r="J19" s="168"/>
      <c r="L19" s="6"/>
    </row>
    <row r="20" spans="1:15" x14ac:dyDescent="0.25">
      <c r="A20" s="166" t="s">
        <v>113</v>
      </c>
      <c r="B20" s="167"/>
      <c r="C20" s="167"/>
      <c r="D20" s="167"/>
      <c r="E20" s="167"/>
      <c r="F20" s="167"/>
      <c r="G20" s="167"/>
      <c r="H20" s="46">
        <f>(COUNTIFS('DETALHAMENTO CLT'!D:D,A20))+(COUNTIFS('DETALHAMENTO PF'!C:C,A20))</f>
        <v>0</v>
      </c>
      <c r="I20" s="168">
        <f>((SUMIFS('DETALHAMENTO CLT'!Y:Y,'DETALHAMENTO CLT'!D:D,A20))+(SUMIFS('DETALHAMENTO PF'!U:U,'DETALHAMENTO PF'!C:C,A20)))</f>
        <v>0</v>
      </c>
      <c r="J20" s="168"/>
      <c r="L20" s="6"/>
    </row>
    <row r="21" spans="1:15" x14ac:dyDescent="0.25">
      <c r="A21" s="166" t="s">
        <v>112</v>
      </c>
      <c r="B21" s="167"/>
      <c r="C21" s="167"/>
      <c r="D21" s="167"/>
      <c r="E21" s="167"/>
      <c r="F21" s="167"/>
      <c r="G21" s="167"/>
      <c r="H21" s="46">
        <f>(COUNTIFS('DETALHAMENTO CLT'!D:D,A21))+(COUNTIFS('DETALHAMENTO PF'!C:C,A21))</f>
        <v>0</v>
      </c>
      <c r="I21" s="168">
        <f>((SUMIFS('DETALHAMENTO CLT'!Y:Y,'DETALHAMENTO CLT'!D:D,A21))+(SUMIFS('DETALHAMENTO PF'!U:U,'DETALHAMENTO PF'!C:C,A21)))</f>
        <v>0</v>
      </c>
      <c r="J21" s="168"/>
      <c r="L21" s="6"/>
    </row>
    <row r="22" spans="1:15" x14ac:dyDescent="0.25">
      <c r="A22" s="166" t="s">
        <v>90</v>
      </c>
      <c r="B22" s="167"/>
      <c r="C22" s="167"/>
      <c r="D22" s="167"/>
      <c r="E22" s="167"/>
      <c r="F22" s="167"/>
      <c r="G22" s="167"/>
      <c r="H22" s="46">
        <f>(COUNTIFS('DETALHAMENTO CLT'!D:D,A22))+(COUNTIFS('DETALHAMENTO PF'!C:C,A22))</f>
        <v>0</v>
      </c>
      <c r="I22" s="168">
        <f>((SUMIFS('DETALHAMENTO CLT'!Y:Y,'DETALHAMENTO CLT'!D:D,A22))+(SUMIFS('DETALHAMENTO PF'!U:U,'DETALHAMENTO PF'!C:C,A22)))</f>
        <v>0</v>
      </c>
      <c r="J22" s="168"/>
      <c r="L22" s="6"/>
    </row>
    <row r="23" spans="1:15" hidden="1" x14ac:dyDescent="0.25">
      <c r="A23" s="166"/>
      <c r="B23" s="167"/>
      <c r="C23" s="167"/>
      <c r="D23" s="167"/>
      <c r="E23" s="167"/>
      <c r="F23" s="167"/>
      <c r="G23" s="167"/>
      <c r="H23" s="46">
        <f>(COUNTIFS('DETALHAMENTO CLT'!D:D,A23))+(COUNTIFS('DETALHAMENTO PF'!C:C,A23))</f>
        <v>1</v>
      </c>
      <c r="I23" s="168">
        <f>((SUMIFS('DETALHAMENTO CLT'!Y:Y,'DETALHAMENTO CLT'!D:D,A23))+(SUMIFS('DETALHAMENTO PF'!U:U,'DETALHAMENTO PF'!C:C,A23)))</f>
        <v>0</v>
      </c>
      <c r="J23" s="168"/>
      <c r="L23" s="6"/>
    </row>
    <row r="24" spans="1:15" hidden="1" x14ac:dyDescent="0.25">
      <c r="A24" s="166"/>
      <c r="B24" s="167"/>
      <c r="C24" s="167"/>
      <c r="D24" s="167"/>
      <c r="E24" s="167"/>
      <c r="F24" s="167"/>
      <c r="G24" s="167"/>
      <c r="H24" s="46">
        <f>(COUNTIFS('DETALHAMENTO CLT'!D:D,A24))+(COUNTIFS('DETALHAMENTO PF'!C:C,A24))</f>
        <v>1</v>
      </c>
      <c r="I24" s="168">
        <f>((SUMIFS('DETALHAMENTO CLT'!Y:Y,'DETALHAMENTO CLT'!D:D,A24))+(SUMIFS('DETALHAMENTO PF'!U:U,'DETALHAMENTO PF'!C:C,A24)))</f>
        <v>0</v>
      </c>
      <c r="J24" s="168"/>
    </row>
    <row r="25" spans="1:15" hidden="1" x14ac:dyDescent="0.25">
      <c r="A25" s="166"/>
      <c r="B25" s="167"/>
      <c r="C25" s="167"/>
      <c r="D25" s="167"/>
      <c r="E25" s="167"/>
      <c r="F25" s="167"/>
      <c r="G25" s="167"/>
      <c r="H25" s="46">
        <f>(COUNTIFS('DETALHAMENTO CLT'!D:D,A25))+(COUNTIFS('DETALHAMENTO PF'!C:C,A25))</f>
        <v>1</v>
      </c>
      <c r="I25" s="168">
        <f>((SUMIFS('DETALHAMENTO CLT'!Y:Y,'DETALHAMENTO CLT'!D:D,A25))+(SUMIFS('DETALHAMENTO PF'!U:U,'DETALHAMENTO PF'!C:C,A25)))</f>
        <v>0</v>
      </c>
      <c r="J25" s="168"/>
    </row>
    <row r="26" spans="1:15" hidden="1" x14ac:dyDescent="0.25">
      <c r="A26" s="166"/>
      <c r="B26" s="167"/>
      <c r="C26" s="167"/>
      <c r="D26" s="167"/>
      <c r="E26" s="167"/>
      <c r="F26" s="167"/>
      <c r="G26" s="167"/>
      <c r="H26" s="46">
        <f>(COUNTIFS('DETALHAMENTO CLT'!D:D,A26))+(COUNTIFS('DETALHAMENTO PF'!C:C,A26))</f>
        <v>1</v>
      </c>
      <c r="I26" s="168">
        <f>((SUMIFS('DETALHAMENTO CLT'!Y:Y,'DETALHAMENTO CLT'!D:D,A26))+(SUMIFS('DETALHAMENTO PF'!U:U,'DETALHAMENTO PF'!C:C,A26)))</f>
        <v>0</v>
      </c>
      <c r="J26" s="168"/>
    </row>
    <row r="27" spans="1:15" hidden="1" x14ac:dyDescent="0.25">
      <c r="A27" s="166"/>
      <c r="B27" s="167"/>
      <c r="C27" s="167"/>
      <c r="D27" s="167"/>
      <c r="E27" s="167"/>
      <c r="F27" s="167"/>
      <c r="G27" s="167"/>
      <c r="H27" s="46">
        <f>(COUNTIFS('DETALHAMENTO CLT'!D:D,A27))+(COUNTIFS('DETALHAMENTO PF'!C:C,A27))</f>
        <v>1</v>
      </c>
      <c r="I27" s="168">
        <f>((SUMIFS('DETALHAMENTO CLT'!Y:Y,'DETALHAMENTO CLT'!D:D,A27))+(SUMIFS('DETALHAMENTO PF'!U:U,'DETALHAMENTO PF'!C:C,A27)))</f>
        <v>0</v>
      </c>
      <c r="J27" s="168"/>
    </row>
    <row r="28" spans="1:15" hidden="1" x14ac:dyDescent="0.25">
      <c r="A28" s="166"/>
      <c r="B28" s="167"/>
      <c r="C28" s="167"/>
      <c r="D28" s="167"/>
      <c r="E28" s="167"/>
      <c r="F28" s="167"/>
      <c r="G28" s="167"/>
      <c r="H28" s="46">
        <f>(COUNTIFS('DETALHAMENTO CLT'!D:D,A28))+(COUNTIFS('DETALHAMENTO PF'!C:C,A28))</f>
        <v>1</v>
      </c>
      <c r="I28" s="168">
        <f>((SUMIFS('DETALHAMENTO CLT'!Y:Y,'DETALHAMENTO CLT'!D:D,A28))+(SUMIFS('DETALHAMENTO PF'!U:U,'DETALHAMENTO PF'!C:C,A28)))</f>
        <v>0</v>
      </c>
      <c r="J28" s="168"/>
    </row>
    <row r="29" spans="1:15" hidden="1" x14ac:dyDescent="0.25">
      <c r="A29" s="166"/>
      <c r="B29" s="167"/>
      <c r="C29" s="167"/>
      <c r="D29" s="167"/>
      <c r="E29" s="167"/>
      <c r="F29" s="167"/>
      <c r="G29" s="167"/>
      <c r="H29" s="46">
        <f>(COUNTIFS('DETALHAMENTO CLT'!D:D,A29))+(COUNTIFS('DETALHAMENTO PF'!C:C,A29))</f>
        <v>1</v>
      </c>
      <c r="I29" s="168">
        <f>((SUMIFS('DETALHAMENTO CLT'!Y:Y,'DETALHAMENTO CLT'!D:D,A29))+(SUMIFS('DETALHAMENTO PF'!U:U,'DETALHAMENTO PF'!C:C,A29)))</f>
        <v>0</v>
      </c>
      <c r="J29" s="168"/>
    </row>
    <row r="30" spans="1:15" hidden="1" x14ac:dyDescent="0.25">
      <c r="A30" s="166"/>
      <c r="B30" s="167"/>
      <c r="C30" s="167"/>
      <c r="D30" s="167"/>
      <c r="E30" s="167"/>
      <c r="F30" s="167"/>
      <c r="G30" s="167"/>
      <c r="H30" s="46">
        <f>(COUNTIFS('DETALHAMENTO CLT'!D:D,A30))+(COUNTIFS('DETALHAMENTO PF'!C:C,A30))</f>
        <v>1</v>
      </c>
      <c r="I30" s="168">
        <f>((SUMIFS('DETALHAMENTO CLT'!Y:Y,'DETALHAMENTO CLT'!D:D,A30))+(SUMIFS('DETALHAMENTO PF'!U:U,'DETALHAMENTO PF'!C:C,A30)))</f>
        <v>0</v>
      </c>
      <c r="J30" s="168"/>
      <c r="L30" s="65"/>
      <c r="M30" s="6"/>
    </row>
    <row r="31" spans="1:15" s="6" customFormat="1" ht="25.15" hidden="1" customHeight="1" x14ac:dyDescent="0.25">
      <c r="A31" s="163">
        <f>'RESUMO FATURAMENTO'!A23</f>
        <v>0</v>
      </c>
      <c r="B31" s="163"/>
      <c r="C31" s="163"/>
      <c r="D31" s="163"/>
      <c r="E31" s="163"/>
      <c r="F31" s="163"/>
      <c r="G31" s="163"/>
      <c r="H31" s="163"/>
      <c r="I31" s="164">
        <f>SUM(I33:J70)</f>
        <v>0</v>
      </c>
      <c r="J31" s="164"/>
      <c r="O31" s="3"/>
    </row>
    <row r="32" spans="1:15" s="45" customFormat="1" ht="20.45" hidden="1" customHeight="1" x14ac:dyDescent="0.25">
      <c r="A32" s="165" t="s">
        <v>21</v>
      </c>
      <c r="B32" s="165"/>
      <c r="C32" s="165"/>
      <c r="D32" s="165"/>
      <c r="E32" s="165"/>
      <c r="F32" s="165"/>
      <c r="G32" s="44" t="s">
        <v>14</v>
      </c>
      <c r="H32" s="44" t="s">
        <v>22</v>
      </c>
      <c r="I32" s="165" t="s">
        <v>9</v>
      </c>
      <c r="J32" s="165"/>
      <c r="L32" s="3"/>
      <c r="O32" s="3"/>
    </row>
    <row r="33" spans="1:14" hidden="1" x14ac:dyDescent="0.25">
      <c r="A33" s="170"/>
      <c r="B33" s="170"/>
      <c r="C33" s="170"/>
      <c r="D33" s="170"/>
      <c r="E33" s="170"/>
      <c r="F33" s="170"/>
      <c r="G33" s="46" t="e">
        <f>VLOOKUP(A33,'Referencia PT'!D:F,2,FALSE)</f>
        <v>#N/A</v>
      </c>
      <c r="H33" s="46" t="e">
        <f>IF(G33="Serviço",(COUNTIFS('DETALHAMENTO PJ SAUDE'!F:F,A33)),(SUMIFS('DETALHAMENTO PJ SAUDE'!K:K,'DETALHAMENTO PJ SAUDE'!F:F,A33)))</f>
        <v>#N/A</v>
      </c>
      <c r="I33" s="169">
        <f>SUMIFS('DETALHAMENTO PJ SAUDE'!L:L,'DETALHAMENTO PJ SAUDE'!F:F,A33)</f>
        <v>0</v>
      </c>
      <c r="J33" s="169"/>
      <c r="N33" s="45"/>
    </row>
    <row r="34" spans="1:14" hidden="1" x14ac:dyDescent="0.25">
      <c r="A34" s="170"/>
      <c r="B34" s="170"/>
      <c r="C34" s="170"/>
      <c r="D34" s="170"/>
      <c r="E34" s="170"/>
      <c r="F34" s="170"/>
      <c r="G34" s="46" t="e">
        <f>VLOOKUP(A34,'Referencia PT'!D:F,2,FALSE)</f>
        <v>#N/A</v>
      </c>
      <c r="H34" s="46" t="e">
        <f>IF(G34="Serviço",(COUNTIFS('DETALHAMENTO PJ SAUDE'!F:F,A34)),(SUMIFS('DETALHAMENTO PJ SAUDE'!K:K,'DETALHAMENTO PJ SAUDE'!F:F,A34)))</f>
        <v>#N/A</v>
      </c>
      <c r="I34" s="169">
        <f>SUMIFS('DETALHAMENTO PJ SAUDE'!L:L,'DETALHAMENTO PJ SAUDE'!F:F,A34)</f>
        <v>0</v>
      </c>
      <c r="J34" s="169"/>
      <c r="N34" s="45"/>
    </row>
    <row r="35" spans="1:14" hidden="1" x14ac:dyDescent="0.25">
      <c r="A35" s="170"/>
      <c r="B35" s="170"/>
      <c r="C35" s="170"/>
      <c r="D35" s="170"/>
      <c r="E35" s="170"/>
      <c r="F35" s="170"/>
      <c r="G35" s="46" t="e">
        <f>VLOOKUP(A35,'Referencia PT'!D:F,2,FALSE)</f>
        <v>#N/A</v>
      </c>
      <c r="H35" s="46" t="e">
        <f>IF(G35="Serviço",(COUNTIFS('DETALHAMENTO PJ SAUDE'!F:F,A35)),(SUMIFS('DETALHAMENTO PJ SAUDE'!K:K,'DETALHAMENTO PJ SAUDE'!F:F,A35)))</f>
        <v>#N/A</v>
      </c>
      <c r="I35" s="169">
        <f>SUMIFS('DETALHAMENTO PJ SAUDE'!L:L,'DETALHAMENTO PJ SAUDE'!F:F,A35)</f>
        <v>0</v>
      </c>
      <c r="J35" s="169"/>
      <c r="N35" s="45"/>
    </row>
    <row r="36" spans="1:14" hidden="1" x14ac:dyDescent="0.25">
      <c r="A36" s="170"/>
      <c r="B36" s="170"/>
      <c r="C36" s="170"/>
      <c r="D36" s="170"/>
      <c r="E36" s="170"/>
      <c r="F36" s="170"/>
      <c r="G36" s="46" t="e">
        <f>VLOOKUP(A36,'Referencia PT'!D:F,2,FALSE)</f>
        <v>#N/A</v>
      </c>
      <c r="H36" s="46" t="e">
        <f>IF(G36="Serviço",(COUNTIFS('DETALHAMENTO PJ SAUDE'!F:F,A36)),(SUMIFS('DETALHAMENTO PJ SAUDE'!K:K,'DETALHAMENTO PJ SAUDE'!F:F,A36)))</f>
        <v>#N/A</v>
      </c>
      <c r="I36" s="169">
        <f>SUMIFS('DETALHAMENTO PJ SAUDE'!L:L,'DETALHAMENTO PJ SAUDE'!F:F,A36)</f>
        <v>0</v>
      </c>
      <c r="J36" s="169"/>
      <c r="N36" s="45"/>
    </row>
    <row r="37" spans="1:14" hidden="1" x14ac:dyDescent="0.25">
      <c r="A37" s="170"/>
      <c r="B37" s="170"/>
      <c r="C37" s="170"/>
      <c r="D37" s="170"/>
      <c r="E37" s="170"/>
      <c r="F37" s="170"/>
      <c r="G37" s="46" t="e">
        <f>VLOOKUP(A37,'Referencia PT'!D:F,2,FALSE)</f>
        <v>#N/A</v>
      </c>
      <c r="H37" s="46" t="e">
        <f>IF(G37="Serviço",(COUNTIFS('DETALHAMENTO PJ SAUDE'!F:F,A37)),(SUMIFS('DETALHAMENTO PJ SAUDE'!K:K,'DETALHAMENTO PJ SAUDE'!F:F,A37)))</f>
        <v>#N/A</v>
      </c>
      <c r="I37" s="169">
        <f>SUMIFS('DETALHAMENTO PJ SAUDE'!L:L,'DETALHAMENTO PJ SAUDE'!F:F,A37)</f>
        <v>0</v>
      </c>
      <c r="J37" s="169"/>
      <c r="N37" s="45"/>
    </row>
    <row r="38" spans="1:14" hidden="1" x14ac:dyDescent="0.25">
      <c r="A38" s="170"/>
      <c r="B38" s="170"/>
      <c r="C38" s="170"/>
      <c r="D38" s="170"/>
      <c r="E38" s="170"/>
      <c r="F38" s="170"/>
      <c r="G38" s="46" t="e">
        <f>VLOOKUP(A38,'Referencia PT'!D:F,2,FALSE)</f>
        <v>#N/A</v>
      </c>
      <c r="H38" s="46" t="e">
        <f>IF(G38="Serviço",(COUNTIFS('DETALHAMENTO PJ SAUDE'!F:F,A38)),(SUMIFS('DETALHAMENTO PJ SAUDE'!K:K,'DETALHAMENTO PJ SAUDE'!F:F,A38)))</f>
        <v>#N/A</v>
      </c>
      <c r="I38" s="169">
        <f>SUMIFS('DETALHAMENTO PJ SAUDE'!L:L,'DETALHAMENTO PJ SAUDE'!F:F,A38)</f>
        <v>0</v>
      </c>
      <c r="J38" s="169"/>
      <c r="N38" s="45"/>
    </row>
    <row r="39" spans="1:14" hidden="1" x14ac:dyDescent="0.25">
      <c r="A39" s="170"/>
      <c r="B39" s="170"/>
      <c r="C39" s="170"/>
      <c r="D39" s="170"/>
      <c r="E39" s="170"/>
      <c r="F39" s="170"/>
      <c r="G39" s="46" t="e">
        <f>VLOOKUP(A39,'Referencia PT'!D:F,2,FALSE)</f>
        <v>#N/A</v>
      </c>
      <c r="H39" s="46" t="e">
        <f>IF(G39="Serviço",(COUNTIFS('DETALHAMENTO PJ SAUDE'!F:F,A39)),(SUMIFS('DETALHAMENTO PJ SAUDE'!K:K,'DETALHAMENTO PJ SAUDE'!F:F,A39)))</f>
        <v>#N/A</v>
      </c>
      <c r="I39" s="169">
        <f>SUMIFS('DETALHAMENTO PJ SAUDE'!L:L,'DETALHAMENTO PJ SAUDE'!F:F,A39)</f>
        <v>0</v>
      </c>
      <c r="J39" s="169"/>
      <c r="N39" s="45"/>
    </row>
    <row r="40" spans="1:14" hidden="1" x14ac:dyDescent="0.25">
      <c r="A40" s="170"/>
      <c r="B40" s="170"/>
      <c r="C40" s="170"/>
      <c r="D40" s="170"/>
      <c r="E40" s="170"/>
      <c r="F40" s="170"/>
      <c r="G40" s="46" t="e">
        <f>VLOOKUP(A40,'Referencia PT'!D:F,2,FALSE)</f>
        <v>#N/A</v>
      </c>
      <c r="H40" s="46" t="e">
        <f>IF(G40="Serviço",(COUNTIFS('DETALHAMENTO PJ SAUDE'!F:F,A40)),(SUMIFS('DETALHAMENTO PJ SAUDE'!K:K,'DETALHAMENTO PJ SAUDE'!F:F,A40)))</f>
        <v>#N/A</v>
      </c>
      <c r="I40" s="169">
        <f>SUMIFS('DETALHAMENTO PJ SAUDE'!L:L,'DETALHAMENTO PJ SAUDE'!F:F,A40)</f>
        <v>0</v>
      </c>
      <c r="J40" s="169"/>
      <c r="N40" s="45"/>
    </row>
    <row r="41" spans="1:14" hidden="1" x14ac:dyDescent="0.25">
      <c r="A41" s="170"/>
      <c r="B41" s="170"/>
      <c r="C41" s="170"/>
      <c r="D41" s="170"/>
      <c r="E41" s="170"/>
      <c r="F41" s="170"/>
      <c r="G41" s="46" t="e">
        <f>VLOOKUP(A41,'Referencia PT'!D:F,2,FALSE)</f>
        <v>#N/A</v>
      </c>
      <c r="H41" s="46" t="e">
        <f>IF(G41="Serviço",(COUNTIFS('DETALHAMENTO PJ SAUDE'!F:F,A41)),(SUMIFS('DETALHAMENTO PJ SAUDE'!K:K,'DETALHAMENTO PJ SAUDE'!F:F,A41)))</f>
        <v>#N/A</v>
      </c>
      <c r="I41" s="169">
        <f>SUMIFS('DETALHAMENTO PJ SAUDE'!L:L,'DETALHAMENTO PJ SAUDE'!F:F,A41)</f>
        <v>0</v>
      </c>
      <c r="J41" s="169"/>
      <c r="N41" s="45"/>
    </row>
    <row r="42" spans="1:14" hidden="1" x14ac:dyDescent="0.25">
      <c r="A42" s="170"/>
      <c r="B42" s="170"/>
      <c r="C42" s="170"/>
      <c r="D42" s="170"/>
      <c r="E42" s="170"/>
      <c r="F42" s="170"/>
      <c r="G42" s="46" t="e">
        <f>VLOOKUP(A42,'Referencia PT'!D:F,2,FALSE)</f>
        <v>#N/A</v>
      </c>
      <c r="H42" s="46" t="e">
        <f>IF(G42="Serviço",(COUNTIFS('DETALHAMENTO PJ SAUDE'!F:F,A42)),(SUMIFS('DETALHAMENTO PJ SAUDE'!K:K,'DETALHAMENTO PJ SAUDE'!F:F,A42)))</f>
        <v>#N/A</v>
      </c>
      <c r="I42" s="169">
        <f>SUMIFS('DETALHAMENTO PJ SAUDE'!L:L,'DETALHAMENTO PJ SAUDE'!F:F,A42)</f>
        <v>0</v>
      </c>
      <c r="J42" s="169"/>
      <c r="N42" s="45"/>
    </row>
    <row r="43" spans="1:14" hidden="1" x14ac:dyDescent="0.25">
      <c r="A43" s="170"/>
      <c r="B43" s="170"/>
      <c r="C43" s="170"/>
      <c r="D43" s="170"/>
      <c r="E43" s="170"/>
      <c r="F43" s="170"/>
      <c r="G43" s="46" t="e">
        <f>VLOOKUP(A43,'Referencia PT'!D:F,2,FALSE)</f>
        <v>#N/A</v>
      </c>
      <c r="H43" s="75" t="e">
        <f>IF(G43="Serviço",(COUNTIFS('DETALHAMENTO PJ SAUDE'!F:F,A43)),(SUMIFS('DETALHAMENTO PJ SAUDE'!K:K,'DETALHAMENTO PJ SAUDE'!F:F,A43)))</f>
        <v>#N/A</v>
      </c>
      <c r="I43" s="169">
        <f>SUMIFS('DETALHAMENTO PJ SAUDE'!L:L,'DETALHAMENTO PJ SAUDE'!F:F,A43)</f>
        <v>0</v>
      </c>
      <c r="J43" s="169"/>
      <c r="N43" s="45"/>
    </row>
    <row r="44" spans="1:14" hidden="1" x14ac:dyDescent="0.25">
      <c r="A44" s="170"/>
      <c r="B44" s="170"/>
      <c r="C44" s="170"/>
      <c r="D44" s="170"/>
      <c r="E44" s="170"/>
      <c r="F44" s="170"/>
      <c r="G44" s="46" t="e">
        <f>VLOOKUP(A44,'Referencia PT'!D:F,2,FALSE)</f>
        <v>#N/A</v>
      </c>
      <c r="H44" s="46" t="e">
        <f>IF(G44="Serviço",(COUNTIFS('DETALHAMENTO PJ SAUDE'!F:F,A44)),(SUMIFS('DETALHAMENTO PJ SAUDE'!K:K,'DETALHAMENTO PJ SAUDE'!F:F,A44)))</f>
        <v>#N/A</v>
      </c>
      <c r="I44" s="169">
        <f>SUMIFS('DETALHAMENTO PJ SAUDE'!L:L,'DETALHAMENTO PJ SAUDE'!F:F,A44)</f>
        <v>0</v>
      </c>
      <c r="J44" s="169"/>
      <c r="N44" s="45"/>
    </row>
    <row r="45" spans="1:14" hidden="1" x14ac:dyDescent="0.25">
      <c r="A45" s="170"/>
      <c r="B45" s="170"/>
      <c r="C45" s="170"/>
      <c r="D45" s="170"/>
      <c r="E45" s="170"/>
      <c r="F45" s="170"/>
      <c r="G45" s="46" t="e">
        <f>VLOOKUP(A45,'Referencia PT'!D:F,2,FALSE)</f>
        <v>#N/A</v>
      </c>
      <c r="H45" s="75" t="e">
        <f>IF(G45="Serviço",(COUNTIFS('DETALHAMENTO PJ SAUDE'!F:F,A45)),(SUMIFS('DETALHAMENTO PJ SAUDE'!K:K,'DETALHAMENTO PJ SAUDE'!F:F,A45)))</f>
        <v>#N/A</v>
      </c>
      <c r="I45" s="169">
        <f>SUMIFS('DETALHAMENTO PJ SAUDE'!L:L,'DETALHAMENTO PJ SAUDE'!F:F,A45)</f>
        <v>0</v>
      </c>
      <c r="J45" s="169"/>
      <c r="N45" s="45"/>
    </row>
    <row r="46" spans="1:14" hidden="1" x14ac:dyDescent="0.25">
      <c r="A46" s="170"/>
      <c r="B46" s="170"/>
      <c r="C46" s="170"/>
      <c r="D46" s="170"/>
      <c r="E46" s="170"/>
      <c r="F46" s="170"/>
      <c r="G46" s="46" t="e">
        <f>VLOOKUP(A46,'Referencia PT'!D:F,2,FALSE)</f>
        <v>#N/A</v>
      </c>
      <c r="H46" s="46" t="e">
        <f>IF(G46="Serviço",(COUNTIFS('DETALHAMENTO PJ SAUDE'!F:F,A46)),(SUMIFS('DETALHAMENTO PJ SAUDE'!K:K,'DETALHAMENTO PJ SAUDE'!F:F,A46)))</f>
        <v>#N/A</v>
      </c>
      <c r="I46" s="169">
        <f>SUMIFS('DETALHAMENTO PJ SAUDE'!L:L,'DETALHAMENTO PJ SAUDE'!F:F,A46)</f>
        <v>0</v>
      </c>
      <c r="J46" s="169"/>
      <c r="N46" s="45"/>
    </row>
    <row r="47" spans="1:14" hidden="1" x14ac:dyDescent="0.25">
      <c r="A47" s="170"/>
      <c r="B47" s="170"/>
      <c r="C47" s="170"/>
      <c r="D47" s="170"/>
      <c r="E47" s="170"/>
      <c r="F47" s="170"/>
      <c r="G47" s="46" t="e">
        <f>VLOOKUP(A47,'Referencia PT'!D:F,2,FALSE)</f>
        <v>#N/A</v>
      </c>
      <c r="H47" s="46" t="e">
        <f>IF(G47="Serviço",(COUNTIFS('DETALHAMENTO PJ SAUDE'!F:F,A47)),(SUMIFS('DETALHAMENTO PJ SAUDE'!K:K,'DETALHAMENTO PJ SAUDE'!F:F,A47)))</f>
        <v>#N/A</v>
      </c>
      <c r="I47" s="169">
        <f>SUMIFS('DETALHAMENTO PJ SAUDE'!L:L,'DETALHAMENTO PJ SAUDE'!F:F,A47)</f>
        <v>0</v>
      </c>
      <c r="J47" s="169"/>
      <c r="N47" s="45"/>
    </row>
    <row r="48" spans="1:14" hidden="1" x14ac:dyDescent="0.25">
      <c r="A48" s="170"/>
      <c r="B48" s="170"/>
      <c r="C48" s="170"/>
      <c r="D48" s="170"/>
      <c r="E48" s="170"/>
      <c r="F48" s="170"/>
      <c r="G48" s="46" t="e">
        <f>VLOOKUP(A48,'Referencia PT'!D:F,2,FALSE)</f>
        <v>#N/A</v>
      </c>
      <c r="H48" s="46" t="e">
        <f>IF(G48="Serviço",(COUNTIFS('DETALHAMENTO PJ SAUDE'!F:F,A48)),(SUMIFS('DETALHAMENTO PJ SAUDE'!K:K,'DETALHAMENTO PJ SAUDE'!F:F,A48)))</f>
        <v>#N/A</v>
      </c>
      <c r="I48" s="169">
        <f>SUMIFS('DETALHAMENTO PJ SAUDE'!L:L,'DETALHAMENTO PJ SAUDE'!F:F,A48)</f>
        <v>0</v>
      </c>
      <c r="J48" s="169"/>
      <c r="N48" s="45"/>
    </row>
    <row r="49" spans="1:14" hidden="1" x14ac:dyDescent="0.25">
      <c r="A49" s="170"/>
      <c r="B49" s="170"/>
      <c r="C49" s="170"/>
      <c r="D49" s="170"/>
      <c r="E49" s="170"/>
      <c r="F49" s="170"/>
      <c r="G49" s="46" t="e">
        <f>VLOOKUP(A49,'Referencia PT'!D:F,2,FALSE)</f>
        <v>#N/A</v>
      </c>
      <c r="H49" s="46" t="e">
        <f>IF(G49="Serviço",(COUNTIFS('DETALHAMENTO PJ SAUDE'!F:F,A49)),(SUMIFS('DETALHAMENTO PJ SAUDE'!K:K,'DETALHAMENTO PJ SAUDE'!F:F,A49)))</f>
        <v>#N/A</v>
      </c>
      <c r="I49" s="169">
        <f>SUMIFS('DETALHAMENTO PJ SAUDE'!L:L,'DETALHAMENTO PJ SAUDE'!F:F,A49)</f>
        <v>0</v>
      </c>
      <c r="J49" s="169"/>
      <c r="N49" s="45"/>
    </row>
    <row r="50" spans="1:14" hidden="1" x14ac:dyDescent="0.25">
      <c r="A50" s="170"/>
      <c r="B50" s="170"/>
      <c r="C50" s="170"/>
      <c r="D50" s="170"/>
      <c r="E50" s="170"/>
      <c r="F50" s="170"/>
      <c r="G50" s="46" t="e">
        <f>VLOOKUP(A50,'Referencia PT'!D:F,2,FALSE)</f>
        <v>#N/A</v>
      </c>
      <c r="H50" s="46" t="e">
        <f>IF(G50="Serviço",(COUNTIFS('DETALHAMENTO PJ SAUDE'!F:F,A50)),(SUMIFS('DETALHAMENTO PJ SAUDE'!K:K,'DETALHAMENTO PJ SAUDE'!F:F,A50)))</f>
        <v>#N/A</v>
      </c>
      <c r="I50" s="169">
        <f>SUMIFS('DETALHAMENTO PJ SAUDE'!L:L,'DETALHAMENTO PJ SAUDE'!F:F,A50)</f>
        <v>0</v>
      </c>
      <c r="J50" s="169"/>
      <c r="N50" s="45"/>
    </row>
    <row r="51" spans="1:14" hidden="1" x14ac:dyDescent="0.25">
      <c r="A51" s="170"/>
      <c r="B51" s="170"/>
      <c r="C51" s="170"/>
      <c r="D51" s="170"/>
      <c r="E51" s="170"/>
      <c r="F51" s="170"/>
      <c r="G51" s="46" t="e">
        <f>VLOOKUP(A51,'Referencia PT'!D:F,2,FALSE)</f>
        <v>#N/A</v>
      </c>
      <c r="H51" s="46" t="e">
        <f>IF(G51="Serviço",(COUNTIFS('DETALHAMENTO PJ SAUDE'!F:F,A51)),(SUMIFS('DETALHAMENTO PJ SAUDE'!K:K,'DETALHAMENTO PJ SAUDE'!F:F,A51)))</f>
        <v>#N/A</v>
      </c>
      <c r="I51" s="169">
        <f>SUMIFS('DETALHAMENTO PJ SAUDE'!L:L,'DETALHAMENTO PJ SAUDE'!F:F,A51)</f>
        <v>0</v>
      </c>
      <c r="J51" s="169"/>
      <c r="N51" s="45"/>
    </row>
    <row r="52" spans="1:14" hidden="1" x14ac:dyDescent="0.25">
      <c r="A52" s="170"/>
      <c r="B52" s="170"/>
      <c r="C52" s="170"/>
      <c r="D52" s="170"/>
      <c r="E52" s="170"/>
      <c r="F52" s="170"/>
      <c r="G52" s="46" t="e">
        <f>VLOOKUP(A52,'Referencia PT'!D:F,2,FALSE)</f>
        <v>#N/A</v>
      </c>
      <c r="H52" s="46" t="e">
        <f>IF(G52="Serviço",(COUNTIFS('DETALHAMENTO PJ SAUDE'!F:F,A52)),(SUMIFS('DETALHAMENTO PJ SAUDE'!K:K,'DETALHAMENTO PJ SAUDE'!F:F,A52)))</f>
        <v>#N/A</v>
      </c>
      <c r="I52" s="169">
        <f>SUMIFS('DETALHAMENTO PJ SAUDE'!L:L,'DETALHAMENTO PJ SAUDE'!F:F,A52)</f>
        <v>0</v>
      </c>
      <c r="J52" s="169"/>
      <c r="N52" s="45"/>
    </row>
    <row r="53" spans="1:14" hidden="1" x14ac:dyDescent="0.25">
      <c r="A53" s="170"/>
      <c r="B53" s="170"/>
      <c r="C53" s="170"/>
      <c r="D53" s="170"/>
      <c r="E53" s="170"/>
      <c r="F53" s="170"/>
      <c r="G53" s="46" t="e">
        <f>VLOOKUP(A53,'Referencia PT'!D:F,2,FALSE)</f>
        <v>#N/A</v>
      </c>
      <c r="H53" s="46" t="e">
        <f>IF(G53="Serviço",(COUNTIFS('DETALHAMENTO PJ SAUDE'!F:F,A53)),(SUMIFS('DETALHAMENTO PJ SAUDE'!K:K,'DETALHAMENTO PJ SAUDE'!F:F,A53)))</f>
        <v>#N/A</v>
      </c>
      <c r="I53" s="169">
        <f>SUMIFS('DETALHAMENTO PJ SAUDE'!L:L,'DETALHAMENTO PJ SAUDE'!F:F,A53)</f>
        <v>0</v>
      </c>
      <c r="J53" s="169"/>
      <c r="N53" s="45"/>
    </row>
    <row r="54" spans="1:14" hidden="1" x14ac:dyDescent="0.25">
      <c r="A54" s="170"/>
      <c r="B54" s="170"/>
      <c r="C54" s="170"/>
      <c r="D54" s="170"/>
      <c r="E54" s="170"/>
      <c r="F54" s="170"/>
      <c r="G54" s="46" t="e">
        <f>VLOOKUP(A54,'Referencia PT'!D:F,2,FALSE)</f>
        <v>#N/A</v>
      </c>
      <c r="H54" s="46" t="e">
        <f>IF(G54="Serviço",(COUNTIFS('DETALHAMENTO PJ SAUDE'!F:F,A54)),(SUMIFS('DETALHAMENTO PJ SAUDE'!K:K,'DETALHAMENTO PJ SAUDE'!F:F,A54)))</f>
        <v>#N/A</v>
      </c>
      <c r="I54" s="169">
        <f>SUMIFS('DETALHAMENTO PJ SAUDE'!L:L,'DETALHAMENTO PJ SAUDE'!F:F,A54)</f>
        <v>0</v>
      </c>
      <c r="J54" s="169"/>
      <c r="N54" s="45"/>
    </row>
    <row r="55" spans="1:14" hidden="1" x14ac:dyDescent="0.25">
      <c r="A55" s="170"/>
      <c r="B55" s="170"/>
      <c r="C55" s="170"/>
      <c r="D55" s="170"/>
      <c r="E55" s="170"/>
      <c r="F55" s="170"/>
      <c r="G55" s="46" t="e">
        <f>VLOOKUP(A55,'Referencia PT'!D:F,2,FALSE)</f>
        <v>#N/A</v>
      </c>
      <c r="H55" s="46" t="e">
        <f>IF(G55="Serviço",(COUNTIFS('DETALHAMENTO PJ SAUDE'!F:F,A55)),(SUMIFS('DETALHAMENTO PJ SAUDE'!K:K,'DETALHAMENTO PJ SAUDE'!F:F,A55)))</f>
        <v>#N/A</v>
      </c>
      <c r="I55" s="169">
        <f>SUMIFS('DETALHAMENTO PJ SAUDE'!L:L,'DETALHAMENTO PJ SAUDE'!F:F,A55)</f>
        <v>0</v>
      </c>
      <c r="J55" s="169"/>
      <c r="N55" s="45"/>
    </row>
    <row r="56" spans="1:14" hidden="1" x14ac:dyDescent="0.25">
      <c r="A56" s="170"/>
      <c r="B56" s="170"/>
      <c r="C56" s="170"/>
      <c r="D56" s="170"/>
      <c r="E56" s="170"/>
      <c r="F56" s="170"/>
      <c r="G56" s="46" t="e">
        <f>VLOOKUP(A56,'Referencia PT'!D:F,2,FALSE)</f>
        <v>#N/A</v>
      </c>
      <c r="H56" s="46" t="e">
        <f>IF(G56="Serviço",(COUNTIFS('DETALHAMENTO PJ SAUDE'!F:F,A56)),(SUMIFS('DETALHAMENTO PJ SAUDE'!K:K,'DETALHAMENTO PJ SAUDE'!F:F,A56)))</f>
        <v>#N/A</v>
      </c>
      <c r="I56" s="169">
        <f>SUMIFS('DETALHAMENTO PJ SAUDE'!L:L,'DETALHAMENTO PJ SAUDE'!F:F,A56)</f>
        <v>0</v>
      </c>
      <c r="J56" s="169"/>
      <c r="N56" s="45"/>
    </row>
    <row r="57" spans="1:14" hidden="1" x14ac:dyDescent="0.25">
      <c r="A57" s="170"/>
      <c r="B57" s="170"/>
      <c r="C57" s="170"/>
      <c r="D57" s="170"/>
      <c r="E57" s="170"/>
      <c r="F57" s="170"/>
      <c r="G57" s="46" t="e">
        <f>VLOOKUP(A57,'Referencia PT'!D:F,2,FALSE)</f>
        <v>#N/A</v>
      </c>
      <c r="H57" s="46" t="e">
        <f>IF(G57="Serviço",(COUNTIFS('DETALHAMENTO PJ SAUDE'!F:F,A57)),(SUMIFS('DETALHAMENTO PJ SAUDE'!K:K,'DETALHAMENTO PJ SAUDE'!F:F,A57)))</f>
        <v>#N/A</v>
      </c>
      <c r="I57" s="169">
        <f>SUMIFS('DETALHAMENTO PJ SAUDE'!L:L,'DETALHAMENTO PJ SAUDE'!F:F,A57)</f>
        <v>0</v>
      </c>
      <c r="J57" s="169"/>
    </row>
    <row r="58" spans="1:14" hidden="1" x14ac:dyDescent="0.25">
      <c r="A58" s="170"/>
      <c r="B58" s="170"/>
      <c r="C58" s="170"/>
      <c r="D58" s="170"/>
      <c r="E58" s="170"/>
      <c r="F58" s="170"/>
      <c r="G58" s="46" t="e">
        <f>VLOOKUP(A58,'Referencia PT'!D:F,2,FALSE)</f>
        <v>#N/A</v>
      </c>
      <c r="H58" s="46" t="e">
        <f>IF(G58="Serviço",(COUNTIFS('DETALHAMENTO PJ SAUDE'!F:F,A58)),(SUMIFS('DETALHAMENTO PJ SAUDE'!K:K,'DETALHAMENTO PJ SAUDE'!F:F,A58)))</f>
        <v>#N/A</v>
      </c>
      <c r="I58" s="169">
        <f>SUMIFS('DETALHAMENTO PJ SAUDE'!L:L,'DETALHAMENTO PJ SAUDE'!F:F,A58)</f>
        <v>0</v>
      </c>
      <c r="J58" s="169"/>
    </row>
    <row r="59" spans="1:14" hidden="1" x14ac:dyDescent="0.25">
      <c r="A59" s="170"/>
      <c r="B59" s="170"/>
      <c r="C59" s="170"/>
      <c r="D59" s="170"/>
      <c r="E59" s="170"/>
      <c r="F59" s="170"/>
      <c r="G59" s="46" t="e">
        <f>VLOOKUP(A59,'Referencia PT'!D:F,2,FALSE)</f>
        <v>#N/A</v>
      </c>
      <c r="H59" s="46" t="e">
        <f>IF(G59="Serviço",(COUNTIFS('DETALHAMENTO PJ SAUDE'!F:F,A59)),(SUMIFS('DETALHAMENTO PJ SAUDE'!K:K,'DETALHAMENTO PJ SAUDE'!F:F,A59)))</f>
        <v>#N/A</v>
      </c>
      <c r="I59" s="169">
        <f>SUMIFS('DETALHAMENTO PJ SAUDE'!L:L,'DETALHAMENTO PJ SAUDE'!F:F,A59)</f>
        <v>0</v>
      </c>
      <c r="J59" s="169"/>
    </row>
    <row r="60" spans="1:14" hidden="1" x14ac:dyDescent="0.25">
      <c r="A60" s="170"/>
      <c r="B60" s="170"/>
      <c r="C60" s="170"/>
      <c r="D60" s="170"/>
      <c r="E60" s="170"/>
      <c r="F60" s="170"/>
      <c r="G60" s="46" t="e">
        <f>VLOOKUP(A60,'Referencia PT'!D:F,2,FALSE)</f>
        <v>#N/A</v>
      </c>
      <c r="H60" s="46" t="e">
        <f>IF(G60="Serviço",(COUNTIFS('DETALHAMENTO PJ SAUDE'!F:F,A60)),(SUMIFS('DETALHAMENTO PJ SAUDE'!K:K,'DETALHAMENTO PJ SAUDE'!F:F,A60)))</f>
        <v>#N/A</v>
      </c>
      <c r="I60" s="169">
        <f>SUMIFS('DETALHAMENTO PJ SAUDE'!L:L,'DETALHAMENTO PJ SAUDE'!F:F,A60)</f>
        <v>0</v>
      </c>
      <c r="J60" s="169"/>
    </row>
    <row r="61" spans="1:14" hidden="1" x14ac:dyDescent="0.25">
      <c r="A61" s="170"/>
      <c r="B61" s="170"/>
      <c r="C61" s="170"/>
      <c r="D61" s="170"/>
      <c r="E61" s="170"/>
      <c r="F61" s="170"/>
      <c r="G61" s="46" t="e">
        <f>VLOOKUP(A61,'Referencia PT'!D:F,2,FALSE)</f>
        <v>#N/A</v>
      </c>
      <c r="H61" s="46" t="e">
        <f>IF(G61="Serviço",(COUNTIFS('DETALHAMENTO PJ SAUDE'!F:F,A61)),(SUMIFS('DETALHAMENTO PJ SAUDE'!K:K,'DETALHAMENTO PJ SAUDE'!F:F,A61)))</f>
        <v>#N/A</v>
      </c>
      <c r="I61" s="169">
        <f>SUMIFS('DETALHAMENTO PJ SAUDE'!L:L,'DETALHAMENTO PJ SAUDE'!F:F,A61)</f>
        <v>0</v>
      </c>
      <c r="J61" s="169"/>
    </row>
    <row r="62" spans="1:14" hidden="1" x14ac:dyDescent="0.25">
      <c r="A62" s="170"/>
      <c r="B62" s="170"/>
      <c r="C62" s="170"/>
      <c r="D62" s="170"/>
      <c r="E62" s="170"/>
      <c r="F62" s="170"/>
      <c r="G62" s="46" t="e">
        <f>VLOOKUP(A62,'Referencia PT'!D:F,2,FALSE)</f>
        <v>#N/A</v>
      </c>
      <c r="H62" s="46" t="e">
        <f>IF(G62="Serviço",(COUNTIFS('DETALHAMENTO PJ SAUDE'!F:F,A62)),(SUMIFS('DETALHAMENTO PJ SAUDE'!K:K,'DETALHAMENTO PJ SAUDE'!F:F,A62)))</f>
        <v>#N/A</v>
      </c>
      <c r="I62" s="169">
        <f>SUMIFS('DETALHAMENTO PJ SAUDE'!L:L,'DETALHAMENTO PJ SAUDE'!F:F,A62)</f>
        <v>0</v>
      </c>
      <c r="J62" s="169"/>
    </row>
    <row r="63" spans="1:14" hidden="1" x14ac:dyDescent="0.25">
      <c r="A63" s="170"/>
      <c r="B63" s="170"/>
      <c r="C63" s="170"/>
      <c r="D63" s="170"/>
      <c r="E63" s="170"/>
      <c r="F63" s="170"/>
      <c r="G63" s="46" t="e">
        <f>VLOOKUP(A63,'Referencia PT'!D:F,2,FALSE)</f>
        <v>#N/A</v>
      </c>
      <c r="H63" s="46" t="e">
        <f>IF(G63="Serviço",(COUNTIFS('DETALHAMENTO PJ SAUDE'!F:F,A63)),(SUMIFS('DETALHAMENTO PJ SAUDE'!K:K,'DETALHAMENTO PJ SAUDE'!F:F,A63)))</f>
        <v>#N/A</v>
      </c>
      <c r="I63" s="169">
        <f>SUMIFS('DETALHAMENTO PJ SAUDE'!L:L,'DETALHAMENTO PJ SAUDE'!F:F,A63)</f>
        <v>0</v>
      </c>
      <c r="J63" s="169"/>
    </row>
    <row r="64" spans="1:14" hidden="1" x14ac:dyDescent="0.25">
      <c r="A64" s="170"/>
      <c r="B64" s="170"/>
      <c r="C64" s="170"/>
      <c r="D64" s="170"/>
      <c r="E64" s="170"/>
      <c r="F64" s="170"/>
      <c r="G64" s="46" t="e">
        <f>VLOOKUP(A64,'Referencia PT'!D:F,2,FALSE)</f>
        <v>#N/A</v>
      </c>
      <c r="H64" s="46" t="e">
        <f>IF(G64="Serviço",(COUNTIFS('DETALHAMENTO PJ SAUDE'!F:F,A64)),(SUMIFS('DETALHAMENTO PJ SAUDE'!K:K,'DETALHAMENTO PJ SAUDE'!F:F,A64)))</f>
        <v>#N/A</v>
      </c>
      <c r="I64" s="169">
        <f>SUMIFS('DETALHAMENTO PJ SAUDE'!L:L,'DETALHAMENTO PJ SAUDE'!F:F,A64)</f>
        <v>0</v>
      </c>
      <c r="J64" s="169"/>
    </row>
    <row r="65" spans="1:10" hidden="1" x14ac:dyDescent="0.25">
      <c r="A65" s="170"/>
      <c r="B65" s="170"/>
      <c r="C65" s="170"/>
      <c r="D65" s="170"/>
      <c r="E65" s="170"/>
      <c r="F65" s="170"/>
      <c r="G65" s="46" t="e">
        <f>VLOOKUP(A65,'Referencia PT'!D:F,2,FALSE)</f>
        <v>#N/A</v>
      </c>
      <c r="H65" s="46" t="e">
        <f>IF(G65="Serviço",(COUNTIFS('DETALHAMENTO PJ SAUDE'!F:F,A65)),(SUMIFS('DETALHAMENTO PJ SAUDE'!K:K,'DETALHAMENTO PJ SAUDE'!F:F,A65)))</f>
        <v>#N/A</v>
      </c>
      <c r="I65" s="169">
        <f>SUMIFS('DETALHAMENTO PJ SAUDE'!L:L,'DETALHAMENTO PJ SAUDE'!F:F,A65)</f>
        <v>0</v>
      </c>
      <c r="J65" s="169"/>
    </row>
    <row r="66" spans="1:10" hidden="1" x14ac:dyDescent="0.25">
      <c r="A66" s="170"/>
      <c r="B66" s="170"/>
      <c r="C66" s="170"/>
      <c r="D66" s="170"/>
      <c r="E66" s="170"/>
      <c r="F66" s="170"/>
      <c r="G66" s="46" t="e">
        <f>VLOOKUP(A66,'Referencia PT'!D:F,2,FALSE)</f>
        <v>#N/A</v>
      </c>
      <c r="H66" s="46" t="e">
        <f>IF(G66="Serviço",(COUNTIFS('DETALHAMENTO PJ SAUDE'!F:F,A66)),(SUMIFS('DETALHAMENTO PJ SAUDE'!K:K,'DETALHAMENTO PJ SAUDE'!F:F,A66)))</f>
        <v>#N/A</v>
      </c>
      <c r="I66" s="169">
        <f>SUMIFS('DETALHAMENTO PJ SAUDE'!L:L,'DETALHAMENTO PJ SAUDE'!F:F,A66)</f>
        <v>0</v>
      </c>
      <c r="J66" s="169"/>
    </row>
    <row r="67" spans="1:10" hidden="1" x14ac:dyDescent="0.25">
      <c r="A67" s="170"/>
      <c r="B67" s="170"/>
      <c r="C67" s="170"/>
      <c r="D67" s="170"/>
      <c r="E67" s="170"/>
      <c r="F67" s="170"/>
      <c r="G67" s="46" t="e">
        <f>VLOOKUP(A67,'Referencia PT'!D:F,2,FALSE)</f>
        <v>#N/A</v>
      </c>
      <c r="H67" s="46" t="e">
        <f>IF(G67="Serviço",(COUNTIFS('DETALHAMENTO PJ SAUDE'!F:F,A67)),(SUMIFS('DETALHAMENTO PJ SAUDE'!K:K,'DETALHAMENTO PJ SAUDE'!F:F,A67)))</f>
        <v>#N/A</v>
      </c>
      <c r="I67" s="169">
        <f>SUMIFS('DETALHAMENTO PJ SAUDE'!L:L,'DETALHAMENTO PJ SAUDE'!F:F,A67)</f>
        <v>0</v>
      </c>
      <c r="J67" s="169"/>
    </row>
    <row r="68" spans="1:10" hidden="1" x14ac:dyDescent="0.25">
      <c r="A68" s="170"/>
      <c r="B68" s="170"/>
      <c r="C68" s="170"/>
      <c r="D68" s="170"/>
      <c r="E68" s="170"/>
      <c r="F68" s="170"/>
      <c r="G68" s="46" t="e">
        <f>VLOOKUP(A68,'Referencia PT'!D:F,2,FALSE)</f>
        <v>#N/A</v>
      </c>
      <c r="H68" s="46" t="e">
        <f>IF(G68="Serviço",(COUNTIFS('DETALHAMENTO PJ SAUDE'!F:F,A68)),(SUMIFS('DETALHAMENTO PJ SAUDE'!K:K,'DETALHAMENTO PJ SAUDE'!F:F,A68)))</f>
        <v>#N/A</v>
      </c>
      <c r="I68" s="169">
        <f>SUMIFS('DETALHAMENTO PJ SAUDE'!L:L,'DETALHAMENTO PJ SAUDE'!F:F,A68)</f>
        <v>0</v>
      </c>
      <c r="J68" s="169"/>
    </row>
    <row r="69" spans="1:10" hidden="1" x14ac:dyDescent="0.25">
      <c r="A69" s="170"/>
      <c r="B69" s="170"/>
      <c r="C69" s="170"/>
      <c r="D69" s="170"/>
      <c r="E69" s="170"/>
      <c r="F69" s="170"/>
      <c r="G69" s="46" t="e">
        <f>VLOOKUP(A69,'Referencia PT'!D:F,2,FALSE)</f>
        <v>#N/A</v>
      </c>
      <c r="H69" s="46" t="e">
        <f>IF(G69="Serviço",(COUNTIFS('DETALHAMENTO PJ SAUDE'!F:F,A69)),(SUMIFS('DETALHAMENTO PJ SAUDE'!K:K,'DETALHAMENTO PJ SAUDE'!F:F,A69)))</f>
        <v>#N/A</v>
      </c>
      <c r="I69" s="169">
        <f>SUMIFS('DETALHAMENTO PJ SAUDE'!L:L,'DETALHAMENTO PJ SAUDE'!F:F,A69)</f>
        <v>0</v>
      </c>
      <c r="J69" s="169"/>
    </row>
    <row r="70" spans="1:10" hidden="1" x14ac:dyDescent="0.25">
      <c r="A70" s="170"/>
      <c r="B70" s="170"/>
      <c r="C70" s="170"/>
      <c r="D70" s="170"/>
      <c r="E70" s="170"/>
      <c r="F70" s="170"/>
      <c r="G70" s="46" t="e">
        <f>VLOOKUP(A70,'Referencia PT'!D:F,2,FALSE)</f>
        <v>#N/A</v>
      </c>
      <c r="H70" s="46" t="e">
        <f>IF(G70="Serviço",(COUNTIFS('DETALHAMENTO PJ SAUDE'!F:F,A70)),(SUMIFS('DETALHAMENTO PJ SAUDE'!K:K,'DETALHAMENTO PJ SAUDE'!F:F,A70)))</f>
        <v>#N/A</v>
      </c>
      <c r="I70" s="169">
        <f>SUMIFS('DETALHAMENTO PJ SAUDE'!L:L,'DETALHAMENTO PJ SAUDE'!F:F,A70)</f>
        <v>0</v>
      </c>
      <c r="J70" s="169"/>
    </row>
    <row r="71" spans="1:10" hidden="1" x14ac:dyDescent="0.25"/>
  </sheetData>
  <mergeCells count="117">
    <mergeCell ref="A70:F70"/>
    <mergeCell ref="I70:J70"/>
    <mergeCell ref="A61:F61"/>
    <mergeCell ref="I61:J61"/>
    <mergeCell ref="A38:F38"/>
    <mergeCell ref="I38:J38"/>
    <mergeCell ref="A67:F67"/>
    <mergeCell ref="I67:J67"/>
    <mergeCell ref="A68:F68"/>
    <mergeCell ref="I68:J68"/>
    <mergeCell ref="A69:F69"/>
    <mergeCell ref="I69:J69"/>
    <mergeCell ref="A58:F58"/>
    <mergeCell ref="I58:J58"/>
    <mergeCell ref="A65:F65"/>
    <mergeCell ref="I65:J65"/>
    <mergeCell ref="A66:F66"/>
    <mergeCell ref="I66:J66"/>
    <mergeCell ref="A59:F59"/>
    <mergeCell ref="I59:J59"/>
    <mergeCell ref="A60:F60"/>
    <mergeCell ref="I60:J60"/>
    <mergeCell ref="A62:F62"/>
    <mergeCell ref="I62:J62"/>
    <mergeCell ref="A63:F63"/>
    <mergeCell ref="I63:J63"/>
    <mergeCell ref="A64:F64"/>
    <mergeCell ref="I64:J64"/>
    <mergeCell ref="A47:F47"/>
    <mergeCell ref="A48:F48"/>
    <mergeCell ref="A56:F56"/>
    <mergeCell ref="I56:J56"/>
    <mergeCell ref="A57:F57"/>
    <mergeCell ref="I57:J57"/>
    <mergeCell ref="A50:F50"/>
    <mergeCell ref="A51:F51"/>
    <mergeCell ref="A52:F52"/>
    <mergeCell ref="A55:F55"/>
    <mergeCell ref="A54:F54"/>
    <mergeCell ref="I51:J51"/>
    <mergeCell ref="I52:J52"/>
    <mergeCell ref="I54:J54"/>
    <mergeCell ref="I55:J55"/>
    <mergeCell ref="I50:J50"/>
    <mergeCell ref="A53:F53"/>
    <mergeCell ref="I53:J53"/>
    <mergeCell ref="A37:F37"/>
    <mergeCell ref="A39:F39"/>
    <mergeCell ref="I36:J36"/>
    <mergeCell ref="A49:F49"/>
    <mergeCell ref="I42:J42"/>
    <mergeCell ref="I43:J43"/>
    <mergeCell ref="A40:F40"/>
    <mergeCell ref="A41:F41"/>
    <mergeCell ref="A42:F42"/>
    <mergeCell ref="A43:F43"/>
    <mergeCell ref="I40:J40"/>
    <mergeCell ref="I41:J41"/>
    <mergeCell ref="I37:J37"/>
    <mergeCell ref="I39:J39"/>
    <mergeCell ref="A36:F36"/>
    <mergeCell ref="I49:J49"/>
    <mergeCell ref="I44:J44"/>
    <mergeCell ref="I45:J45"/>
    <mergeCell ref="I46:J46"/>
    <mergeCell ref="I47:J47"/>
    <mergeCell ref="I48:J48"/>
    <mergeCell ref="A44:F44"/>
    <mergeCell ref="A45:F45"/>
    <mergeCell ref="A46:F46"/>
    <mergeCell ref="A28:G28"/>
    <mergeCell ref="I28:J28"/>
    <mergeCell ref="A30:G30"/>
    <mergeCell ref="I30:J30"/>
    <mergeCell ref="A29:G29"/>
    <mergeCell ref="I29:J29"/>
    <mergeCell ref="A33:F33"/>
    <mergeCell ref="I33:J33"/>
    <mergeCell ref="A23:G23"/>
    <mergeCell ref="I23:J23"/>
    <mergeCell ref="A26:G26"/>
    <mergeCell ref="I26:J26"/>
    <mergeCell ref="A18:G18"/>
    <mergeCell ref="I18:J18"/>
    <mergeCell ref="A19:G19"/>
    <mergeCell ref="I19:J19"/>
    <mergeCell ref="I35:J35"/>
    <mergeCell ref="A35:F35"/>
    <mergeCell ref="A20:G20"/>
    <mergeCell ref="A21:G21"/>
    <mergeCell ref="A25:G25"/>
    <mergeCell ref="A27:G27"/>
    <mergeCell ref="I20:J20"/>
    <mergeCell ref="I21:J21"/>
    <mergeCell ref="I22:J22"/>
    <mergeCell ref="I24:J24"/>
    <mergeCell ref="I25:J25"/>
    <mergeCell ref="I27:J27"/>
    <mergeCell ref="A31:H31"/>
    <mergeCell ref="I31:J31"/>
    <mergeCell ref="I32:J32"/>
    <mergeCell ref="A32:F32"/>
    <mergeCell ref="I34:J34"/>
    <mergeCell ref="A34:F34"/>
    <mergeCell ref="A22:G22"/>
    <mergeCell ref="A24:G24"/>
    <mergeCell ref="C1:J2"/>
    <mergeCell ref="C3:J3"/>
    <mergeCell ref="C4:J4"/>
    <mergeCell ref="A15:J15"/>
    <mergeCell ref="A7:J7"/>
    <mergeCell ref="A9:J9"/>
    <mergeCell ref="A13:J13"/>
    <mergeCell ref="A11:J11"/>
    <mergeCell ref="A17:H17"/>
    <mergeCell ref="I17:J17"/>
    <mergeCell ref="C5:J5"/>
  </mergeCells>
  <pageMargins left="0.51181102362204722" right="0.51181102362204722" top="0.78740157480314965" bottom="0.78740157480314965" header="0.31496062992125984" footer="0.31496062992125984"/>
  <pageSetup paperSize="9" scale="9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9"/>
  <sheetViews>
    <sheetView showGridLines="0" topLeftCell="A9" workbookViewId="0">
      <selection activeCell="L22" sqref="L22"/>
    </sheetView>
  </sheetViews>
  <sheetFormatPr defaultColWidth="8.85546875" defaultRowHeight="15" x14ac:dyDescent="0.25"/>
  <cols>
    <col min="1" max="1" width="13.85546875" style="3" customWidth="1"/>
    <col min="2" max="3" width="8.7109375" style="3" customWidth="1"/>
    <col min="4" max="4" width="12.42578125" style="3" customWidth="1"/>
    <col min="5" max="7" width="12.140625" style="3" bestFit="1" customWidth="1"/>
    <col min="8" max="10" width="8.7109375" style="3" customWidth="1"/>
    <col min="11" max="11" width="8.85546875" style="3"/>
    <col min="12" max="12" width="18" style="3" bestFit="1" customWidth="1"/>
    <col min="13" max="13" width="15.85546875" style="3" bestFit="1" customWidth="1"/>
    <col min="14" max="14" width="14.5703125" style="3" bestFit="1" customWidth="1"/>
    <col min="15" max="16384" width="8.85546875" style="3"/>
  </cols>
  <sheetData>
    <row r="1" spans="1:11" x14ac:dyDescent="0.25">
      <c r="C1" s="130" t="str">
        <f>'RESUMO FATURAMENTO'!C1</f>
        <v>PREFEITURA MUNICIPAL DE DOM AQUINO/MT</v>
      </c>
      <c r="D1" s="130"/>
      <c r="E1" s="130"/>
      <c r="F1" s="130"/>
      <c r="G1" s="130"/>
      <c r="H1" s="130"/>
      <c r="I1" s="130"/>
      <c r="J1" s="130"/>
    </row>
    <row r="2" spans="1:11" x14ac:dyDescent="0.25">
      <c r="C2" s="130"/>
      <c r="D2" s="130"/>
      <c r="E2" s="130"/>
      <c r="F2" s="130"/>
      <c r="G2" s="130"/>
      <c r="H2" s="130"/>
      <c r="I2" s="130"/>
      <c r="J2" s="130"/>
    </row>
    <row r="3" spans="1:11" ht="13.9" customHeight="1" x14ac:dyDescent="0.25">
      <c r="C3" s="131" t="str">
        <f>'RESUMO FATURAMENTO'!C3</f>
        <v>TERMO DE PARCERIA Nº 001/2026</v>
      </c>
      <c r="D3" s="131"/>
      <c r="E3" s="131"/>
      <c r="F3" s="131"/>
      <c r="G3" s="131"/>
      <c r="H3" s="131"/>
      <c r="I3" s="131"/>
      <c r="J3" s="131"/>
    </row>
    <row r="4" spans="1:11" ht="13.9" customHeight="1" x14ac:dyDescent="0.25">
      <c r="C4" s="132" t="str">
        <f>'RESUMO FATURAMENTO'!C4</f>
        <v>SECRETARIA MUNICIPAL DE SAÚDE</v>
      </c>
      <c r="D4" s="132"/>
      <c r="E4" s="132"/>
      <c r="F4" s="132"/>
      <c r="G4" s="132"/>
      <c r="H4" s="132"/>
      <c r="I4" s="132"/>
      <c r="J4" s="132"/>
    </row>
    <row r="5" spans="1:11" x14ac:dyDescent="0.25">
      <c r="C5" s="4"/>
      <c r="D5" s="4"/>
      <c r="E5" s="4"/>
      <c r="F5" s="4"/>
      <c r="G5" s="4"/>
      <c r="H5" s="4"/>
      <c r="I5" s="4"/>
      <c r="J5" s="4"/>
    </row>
    <row r="6" spans="1:11" ht="27" customHeight="1" x14ac:dyDescent="0.25">
      <c r="A6" s="135" t="s">
        <v>30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</row>
    <row r="8" spans="1:11" x14ac:dyDescent="0.25">
      <c r="A8" s="141" t="str">
        <f>'RESUMO FATURAMENTO'!A9</f>
        <v>OSCIP. ORGANIZAÇÃO DE SAÚDE SÃO BENTO</v>
      </c>
      <c r="B8" s="141"/>
      <c r="C8" s="141"/>
      <c r="D8" s="141"/>
      <c r="E8" s="141"/>
      <c r="F8" s="141"/>
      <c r="G8" s="141"/>
      <c r="H8" s="141"/>
      <c r="I8" s="141"/>
      <c r="J8" s="141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1" x14ac:dyDescent="0.25">
      <c r="A10" s="141" t="str">
        <f>'RESUMO FATURAMENTO'!A11</f>
        <v xml:space="preserve">PROJETO FORSAÚDE – Fortalecimento da Saúde Pública Municipal   </v>
      </c>
      <c r="B10" s="141"/>
      <c r="C10" s="141"/>
      <c r="D10" s="141"/>
      <c r="E10" s="141"/>
      <c r="F10" s="141"/>
      <c r="G10" s="141"/>
      <c r="H10" s="141"/>
      <c r="I10" s="141"/>
      <c r="J10" s="141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1" x14ac:dyDescent="0.25">
      <c r="A12" s="141" t="str">
        <f>'RESUMO FATURAMENTO'!A13</f>
        <v>PERÍODO. AGOSTO DE 2026</v>
      </c>
      <c r="B12" s="141"/>
      <c r="C12" s="141"/>
      <c r="D12" s="141"/>
      <c r="E12" s="141"/>
      <c r="F12" s="141"/>
      <c r="G12" s="141"/>
      <c r="H12" s="141"/>
      <c r="I12" s="141"/>
      <c r="J12" s="141"/>
    </row>
    <row r="14" spans="1:11" ht="27" customHeight="1" x14ac:dyDescent="0.25">
      <c r="A14" s="135" t="str">
        <f>'RESUMO FATURAMENTO'!A15</f>
        <v>COMPETÊNCIA. 01 A 31 DE AGOSTO DE 2026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</row>
    <row r="16" spans="1:11" s="6" customFormat="1" ht="32.450000000000003" customHeight="1" x14ac:dyDescent="0.25">
      <c r="A16" s="196" t="s">
        <v>115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8"/>
    </row>
    <row r="17" spans="1:15" s="45" customFormat="1" ht="26.45" customHeight="1" x14ac:dyDescent="0.25">
      <c r="A17" s="199" t="s">
        <v>15</v>
      </c>
      <c r="B17" s="200"/>
      <c r="C17" s="200"/>
      <c r="D17" s="201"/>
      <c r="E17" s="189" t="s">
        <v>26</v>
      </c>
      <c r="F17" s="189"/>
      <c r="G17" s="189"/>
      <c r="H17" s="199" t="s">
        <v>27</v>
      </c>
      <c r="I17" s="201"/>
      <c r="J17" s="205" t="s">
        <v>29</v>
      </c>
      <c r="K17" s="206"/>
    </row>
    <row r="18" spans="1:15" x14ac:dyDescent="0.25">
      <c r="A18" s="202"/>
      <c r="B18" s="203"/>
      <c r="C18" s="203"/>
      <c r="D18" s="204"/>
      <c r="E18" s="93" t="s">
        <v>116</v>
      </c>
      <c r="F18" s="93" t="s">
        <v>117</v>
      </c>
      <c r="G18" s="93" t="s">
        <v>12</v>
      </c>
      <c r="H18" s="202"/>
      <c r="I18" s="204"/>
      <c r="J18" s="207"/>
      <c r="K18" s="208"/>
      <c r="L18" s="45"/>
      <c r="M18" s="94"/>
      <c r="O18" s="45"/>
    </row>
    <row r="19" spans="1:15" x14ac:dyDescent="0.25">
      <c r="A19" s="182" t="s">
        <v>28</v>
      </c>
      <c r="B19" s="183"/>
      <c r="C19" s="183"/>
      <c r="D19" s="184"/>
      <c r="E19" s="95">
        <v>0</v>
      </c>
      <c r="F19" s="95">
        <v>46571.01</v>
      </c>
      <c r="G19" s="96">
        <f>SUM(E19:F19)</f>
        <v>46571.01</v>
      </c>
      <c r="H19" s="185">
        <f>G19/$G$29</f>
        <v>4.7162346115928816E-2</v>
      </c>
      <c r="I19" s="186"/>
      <c r="J19" s="168">
        <f t="shared" ref="J19:J28" si="0">IFERROR(($J$32*H19),"0")</f>
        <v>5453.250970062647</v>
      </c>
      <c r="K19" s="168"/>
      <c r="L19" s="45"/>
      <c r="M19" s="36">
        <f>G19+J19</f>
        <v>52024.260970062649</v>
      </c>
      <c r="O19" s="76"/>
    </row>
    <row r="20" spans="1:15" x14ac:dyDescent="0.25">
      <c r="A20" s="182" t="s">
        <v>118</v>
      </c>
      <c r="B20" s="183"/>
      <c r="C20" s="183"/>
      <c r="D20" s="184"/>
      <c r="E20" s="95">
        <v>0</v>
      </c>
      <c r="F20" s="95">
        <v>9100</v>
      </c>
      <c r="G20" s="96">
        <f t="shared" ref="G20:G27" si="1">SUM(E20:F20)</f>
        <v>9100</v>
      </c>
      <c r="H20" s="185">
        <f t="shared" ref="H20:H28" si="2">G20/$G$29</f>
        <v>9.2155473899954536E-3</v>
      </c>
      <c r="I20" s="186"/>
      <c r="J20" s="168">
        <f t="shared" si="0"/>
        <v>1065.5681254834301</v>
      </c>
      <c r="K20" s="168"/>
      <c r="L20" s="45"/>
      <c r="M20" s="36">
        <f t="shared" ref="M20:M28" si="3">G20+J20</f>
        <v>10165.568125483431</v>
      </c>
      <c r="O20" s="45"/>
    </row>
    <row r="21" spans="1:15" x14ac:dyDescent="0.25">
      <c r="A21" s="182" t="s">
        <v>365</v>
      </c>
      <c r="B21" s="183"/>
      <c r="C21" s="183"/>
      <c r="D21" s="184"/>
      <c r="E21" s="95">
        <v>40850.080000000002</v>
      </c>
      <c r="F21" s="95">
        <v>48185.51</v>
      </c>
      <c r="G21" s="96">
        <f t="shared" si="1"/>
        <v>89035.59</v>
      </c>
      <c r="H21" s="185">
        <f t="shared" si="2"/>
        <v>9.0166120773758823E-2</v>
      </c>
      <c r="I21" s="186"/>
      <c r="J21" s="168">
        <f t="shared" si="0"/>
        <v>10425.657883253982</v>
      </c>
      <c r="K21" s="168"/>
      <c r="L21" s="45"/>
      <c r="M21" s="36">
        <f t="shared" si="3"/>
        <v>99461.247883253978</v>
      </c>
      <c r="O21" s="45"/>
    </row>
    <row r="22" spans="1:15" x14ac:dyDescent="0.25">
      <c r="A22" s="182" t="s">
        <v>366</v>
      </c>
      <c r="B22" s="183"/>
      <c r="C22" s="183"/>
      <c r="D22" s="184"/>
      <c r="E22" s="95">
        <v>0</v>
      </c>
      <c r="F22" s="95">
        <v>4500</v>
      </c>
      <c r="G22" s="96">
        <f t="shared" ref="G22" si="4">SUM(E22:F22)</f>
        <v>4500</v>
      </c>
      <c r="H22" s="185">
        <f t="shared" ref="H22" si="5">G22/$G$29</f>
        <v>4.5571388192285215E-3</v>
      </c>
      <c r="I22" s="186"/>
      <c r="J22" s="168">
        <f t="shared" ref="J22" si="6">IFERROR(($J$32*H22),"0")</f>
        <v>526.92929282147645</v>
      </c>
      <c r="K22" s="168"/>
      <c r="L22" s="45"/>
      <c r="M22" s="36">
        <f t="shared" ref="M22" si="7">G22+J22</f>
        <v>5026.9292928214763</v>
      </c>
      <c r="O22" s="45"/>
    </row>
    <row r="23" spans="1:15" x14ac:dyDescent="0.25">
      <c r="A23" s="182" t="s">
        <v>367</v>
      </c>
      <c r="B23" s="183"/>
      <c r="C23" s="183"/>
      <c r="D23" s="184"/>
      <c r="E23" s="95">
        <v>0</v>
      </c>
      <c r="F23" s="95">
        <v>7200</v>
      </c>
      <c r="G23" s="96">
        <f t="shared" si="1"/>
        <v>7200</v>
      </c>
      <c r="H23" s="185">
        <f t="shared" si="2"/>
        <v>7.2914221107656342E-3</v>
      </c>
      <c r="I23" s="186"/>
      <c r="J23" s="168">
        <f t="shared" si="0"/>
        <v>843.08686851436232</v>
      </c>
      <c r="K23" s="168"/>
      <c r="L23" s="45"/>
      <c r="M23" s="36">
        <f t="shared" si="3"/>
        <v>8043.0868685143623</v>
      </c>
      <c r="O23" s="45"/>
    </row>
    <row r="24" spans="1:15" x14ac:dyDescent="0.25">
      <c r="A24" s="182" t="s">
        <v>119</v>
      </c>
      <c r="B24" s="183"/>
      <c r="C24" s="183"/>
      <c r="D24" s="184"/>
      <c r="E24" s="95">
        <v>20541.14</v>
      </c>
      <c r="F24" s="95">
        <v>158586.72</v>
      </c>
      <c r="G24" s="96">
        <f t="shared" si="1"/>
        <v>179127.86</v>
      </c>
      <c r="H24" s="185">
        <f t="shared" si="2"/>
        <v>0.18140233875807374</v>
      </c>
      <c r="I24" s="186"/>
      <c r="J24" s="168">
        <f t="shared" si="0"/>
        <v>20975.048132094318</v>
      </c>
      <c r="K24" s="168"/>
      <c r="L24" s="45"/>
      <c r="M24" s="36">
        <f t="shared" si="3"/>
        <v>200102.90813209431</v>
      </c>
      <c r="O24" s="76"/>
    </row>
    <row r="25" spans="1:15" x14ac:dyDescent="0.25">
      <c r="A25" s="182" t="s">
        <v>120</v>
      </c>
      <c r="B25" s="183"/>
      <c r="C25" s="183"/>
      <c r="D25" s="184"/>
      <c r="E25" s="95">
        <v>5539.54</v>
      </c>
      <c r="F25" s="95">
        <v>12300</v>
      </c>
      <c r="G25" s="96">
        <f t="shared" si="1"/>
        <v>17839.54</v>
      </c>
      <c r="H25" s="185">
        <f t="shared" si="2"/>
        <v>1.806605783359555E-2</v>
      </c>
      <c r="I25" s="186"/>
      <c r="J25" s="168">
        <f t="shared" si="0"/>
        <v>2088.9280436578761</v>
      </c>
      <c r="K25" s="168"/>
      <c r="L25" s="45"/>
      <c r="M25" s="36">
        <f t="shared" si="3"/>
        <v>19928.468043657878</v>
      </c>
      <c r="O25" s="45"/>
    </row>
    <row r="26" spans="1:15" x14ac:dyDescent="0.25">
      <c r="A26" s="182" t="s">
        <v>368</v>
      </c>
      <c r="B26" s="183"/>
      <c r="C26" s="183"/>
      <c r="D26" s="184"/>
      <c r="E26" s="95">
        <v>28871.69</v>
      </c>
      <c r="F26" s="95">
        <v>173218.91</v>
      </c>
      <c r="G26" s="96">
        <f t="shared" si="1"/>
        <v>202090.6</v>
      </c>
      <c r="H26" s="185">
        <f t="shared" si="2"/>
        <v>0.20465664850248522</v>
      </c>
      <c r="I26" s="186"/>
      <c r="J26" s="168">
        <f t="shared" si="0"/>
        <v>23663.879320859531</v>
      </c>
      <c r="K26" s="168"/>
      <c r="L26" s="45"/>
      <c r="M26" s="36">
        <f t="shared" si="3"/>
        <v>225754.47932085954</v>
      </c>
      <c r="O26" s="45"/>
    </row>
    <row r="27" spans="1:15" x14ac:dyDescent="0.25">
      <c r="A27" s="190" t="s">
        <v>17</v>
      </c>
      <c r="B27" s="191"/>
      <c r="C27" s="191"/>
      <c r="D27" s="192"/>
      <c r="E27" s="97">
        <v>79829.899999999994</v>
      </c>
      <c r="F27" s="97">
        <v>339880.73</v>
      </c>
      <c r="G27" s="97">
        <f t="shared" si="1"/>
        <v>419710.63</v>
      </c>
      <c r="H27" s="193">
        <f t="shared" si="2"/>
        <v>0.42503991218130199</v>
      </c>
      <c r="I27" s="194"/>
      <c r="J27" s="195">
        <f t="shared" si="0"/>
        <v>49146.183434568084</v>
      </c>
      <c r="K27" s="195"/>
      <c r="L27" s="45"/>
      <c r="M27" s="36">
        <f t="shared" si="3"/>
        <v>468856.81343456812</v>
      </c>
    </row>
    <row r="28" spans="1:15" x14ac:dyDescent="0.25">
      <c r="A28" s="182" t="s">
        <v>121</v>
      </c>
      <c r="B28" s="183"/>
      <c r="C28" s="183"/>
      <c r="D28" s="184"/>
      <c r="E28" s="95">
        <v>0</v>
      </c>
      <c r="F28" s="95">
        <v>12286.46</v>
      </c>
      <c r="G28" s="96">
        <f>SUM(E28:F28)</f>
        <v>12286.46</v>
      </c>
      <c r="H28" s="185">
        <f t="shared" si="2"/>
        <v>1.2442467514866324E-2</v>
      </c>
      <c r="I28" s="186"/>
      <c r="J28" s="168">
        <f t="shared" si="0"/>
        <v>1438.6879286843016</v>
      </c>
      <c r="K28" s="168"/>
      <c r="L28" s="45"/>
      <c r="M28" s="36">
        <f t="shared" si="3"/>
        <v>13725.1479286843</v>
      </c>
    </row>
    <row r="29" spans="1:15" x14ac:dyDescent="0.25">
      <c r="A29" s="165" t="s">
        <v>12</v>
      </c>
      <c r="B29" s="165"/>
      <c r="C29" s="165"/>
      <c r="D29" s="165"/>
      <c r="E29" s="98">
        <f>SUM(E19:E28)</f>
        <v>175632.34999999998</v>
      </c>
      <c r="F29" s="98">
        <f>SUM(F19:F28)</f>
        <v>811829.34</v>
      </c>
      <c r="G29" s="98">
        <f>SUM(G19:G28)</f>
        <v>987461.69</v>
      </c>
      <c r="H29" s="187">
        <f>SUM(H19:I28)</f>
        <v>1</v>
      </c>
      <c r="I29" s="165"/>
      <c r="J29" s="188">
        <f>SUM(J19:K28)</f>
        <v>115627.22000000002</v>
      </c>
      <c r="K29" s="189"/>
      <c r="L29" s="45"/>
      <c r="M29" s="99">
        <f>G29+J29</f>
        <v>1103088.9099999999</v>
      </c>
    </row>
    <row r="30" spans="1:15" x14ac:dyDescent="0.25">
      <c r="A30" s="47"/>
      <c r="B30" s="47"/>
      <c r="C30" s="47"/>
      <c r="D30" s="47"/>
      <c r="E30" s="48"/>
      <c r="F30" s="49"/>
      <c r="G30" s="49"/>
      <c r="H30" s="50"/>
      <c r="I30" s="47"/>
      <c r="J30" s="48"/>
      <c r="K30" s="50"/>
    </row>
    <row r="31" spans="1:15" s="6" customFormat="1" ht="25.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5" s="45" customFormat="1" ht="20.45" customHeight="1" x14ac:dyDescent="0.25">
      <c r="A32" s="176" t="s">
        <v>122</v>
      </c>
      <c r="B32" s="176"/>
      <c r="C32" s="176"/>
      <c r="D32" s="176"/>
      <c r="E32" s="176"/>
      <c r="F32" s="176"/>
      <c r="G32" s="176"/>
      <c r="H32" s="176"/>
      <c r="I32" s="176"/>
      <c r="J32" s="164">
        <f>SUM(J34:K38)</f>
        <v>115627.22</v>
      </c>
      <c r="K32" s="164"/>
    </row>
    <row r="33" spans="1:11" s="6" customFormat="1" ht="26.45" customHeight="1" x14ac:dyDescent="0.25">
      <c r="A33" s="177" t="s">
        <v>23</v>
      </c>
      <c r="B33" s="178"/>
      <c r="C33" s="178"/>
      <c r="D33" s="178"/>
      <c r="E33" s="179"/>
      <c r="F33" s="180" t="s">
        <v>84</v>
      </c>
      <c r="G33" s="181"/>
      <c r="H33" s="165" t="s">
        <v>24</v>
      </c>
      <c r="I33" s="165"/>
      <c r="J33" s="165" t="s">
        <v>25</v>
      </c>
      <c r="K33" s="165"/>
    </row>
    <row r="34" spans="1:11" s="6" customFormat="1" ht="73.150000000000006" customHeight="1" x14ac:dyDescent="0.25">
      <c r="A34" s="171" t="s">
        <v>123</v>
      </c>
      <c r="B34" s="172"/>
      <c r="C34" s="172"/>
      <c r="D34" s="172"/>
      <c r="E34" s="172"/>
      <c r="F34" s="173">
        <v>2500</v>
      </c>
      <c r="G34" s="174"/>
      <c r="H34" s="173">
        <v>0</v>
      </c>
      <c r="I34" s="174"/>
      <c r="J34" s="175">
        <f>SUM(E34:I34)</f>
        <v>2500</v>
      </c>
      <c r="K34" s="175"/>
    </row>
    <row r="35" spans="1:11" s="6" customFormat="1" ht="43.9" customHeight="1" x14ac:dyDescent="0.25">
      <c r="A35" s="171" t="s">
        <v>124</v>
      </c>
      <c r="B35" s="172"/>
      <c r="C35" s="172"/>
      <c r="D35" s="172"/>
      <c r="E35" s="172"/>
      <c r="F35" s="173">
        <v>0</v>
      </c>
      <c r="G35" s="174"/>
      <c r="H35" s="173">
        <v>8000</v>
      </c>
      <c r="I35" s="174"/>
      <c r="J35" s="175">
        <f>SUM(E35:I35)</f>
        <v>8000</v>
      </c>
      <c r="K35" s="175"/>
    </row>
    <row r="36" spans="1:11" s="6" customFormat="1" ht="46.15" customHeight="1" x14ac:dyDescent="0.25">
      <c r="A36" s="171" t="s">
        <v>125</v>
      </c>
      <c r="B36" s="172"/>
      <c r="C36" s="172"/>
      <c r="D36" s="172"/>
      <c r="E36" s="172"/>
      <c r="F36" s="173">
        <v>400</v>
      </c>
      <c r="G36" s="174"/>
      <c r="H36" s="173">
        <v>200</v>
      </c>
      <c r="I36" s="174"/>
      <c r="J36" s="175">
        <f t="shared" ref="J36:J38" si="8">SUM(E36:I36)</f>
        <v>600</v>
      </c>
      <c r="K36" s="175"/>
    </row>
    <row r="37" spans="1:11" s="6" customFormat="1" ht="61.15" customHeight="1" x14ac:dyDescent="0.25">
      <c r="A37" s="171" t="s">
        <v>126</v>
      </c>
      <c r="B37" s="172"/>
      <c r="C37" s="172"/>
      <c r="D37" s="172"/>
      <c r="E37" s="172"/>
      <c r="F37" s="173">
        <v>73727.22</v>
      </c>
      <c r="G37" s="174"/>
      <c r="H37" s="173">
        <v>30000</v>
      </c>
      <c r="I37" s="174"/>
      <c r="J37" s="175">
        <f t="shared" si="8"/>
        <v>103727.22</v>
      </c>
      <c r="K37" s="175"/>
    </row>
    <row r="38" spans="1:11" s="6" customFormat="1" ht="47.45" customHeight="1" x14ac:dyDescent="0.25">
      <c r="A38" s="171" t="s">
        <v>127</v>
      </c>
      <c r="B38" s="172"/>
      <c r="C38" s="172"/>
      <c r="D38" s="172"/>
      <c r="E38" s="172"/>
      <c r="F38" s="173">
        <v>500</v>
      </c>
      <c r="G38" s="174"/>
      <c r="H38" s="173">
        <v>300</v>
      </c>
      <c r="I38" s="174"/>
      <c r="J38" s="175">
        <f t="shared" si="8"/>
        <v>800</v>
      </c>
      <c r="K38" s="175"/>
    </row>
    <row r="39" spans="1:11" x14ac:dyDescent="0.25">
      <c r="J39" s="36"/>
    </row>
  </sheetData>
  <mergeCells count="72">
    <mergeCell ref="A14:K14"/>
    <mergeCell ref="A16:K16"/>
    <mergeCell ref="A17:D18"/>
    <mergeCell ref="E17:G17"/>
    <mergeCell ref="H17:I18"/>
    <mergeCell ref="J17:K18"/>
    <mergeCell ref="C1:J2"/>
    <mergeCell ref="C3:J3"/>
    <mergeCell ref="C4:J4"/>
    <mergeCell ref="A12:J12"/>
    <mergeCell ref="A8:J8"/>
    <mergeCell ref="A10:J10"/>
    <mergeCell ref="A6:K6"/>
    <mergeCell ref="A19:D19"/>
    <mergeCell ref="H19:I19"/>
    <mergeCell ref="J19:K19"/>
    <mergeCell ref="A20:D20"/>
    <mergeCell ref="H20:I20"/>
    <mergeCell ref="J20:K20"/>
    <mergeCell ref="A21:D21"/>
    <mergeCell ref="H21:I21"/>
    <mergeCell ref="J21:K21"/>
    <mergeCell ref="A23:D23"/>
    <mergeCell ref="H23:I23"/>
    <mergeCell ref="J23:K23"/>
    <mergeCell ref="A22:D22"/>
    <mergeCell ref="H22:I22"/>
    <mergeCell ref="J22:K22"/>
    <mergeCell ref="A24:D24"/>
    <mergeCell ref="H24:I24"/>
    <mergeCell ref="J24:K24"/>
    <mergeCell ref="A25:D25"/>
    <mergeCell ref="H25:I25"/>
    <mergeCell ref="J25:K25"/>
    <mergeCell ref="A26:D26"/>
    <mergeCell ref="H26:I26"/>
    <mergeCell ref="J26:K26"/>
    <mergeCell ref="A27:D27"/>
    <mergeCell ref="H27:I27"/>
    <mergeCell ref="J27:K27"/>
    <mergeCell ref="A28:D28"/>
    <mergeCell ref="H28:I28"/>
    <mergeCell ref="J28:K28"/>
    <mergeCell ref="A29:D29"/>
    <mergeCell ref="H29:I29"/>
    <mergeCell ref="J29:K29"/>
    <mergeCell ref="A32:I32"/>
    <mergeCell ref="J32:K32"/>
    <mergeCell ref="A33:E33"/>
    <mergeCell ref="F33:G33"/>
    <mergeCell ref="H33:I33"/>
    <mergeCell ref="J33:K33"/>
    <mergeCell ref="A34:E34"/>
    <mergeCell ref="F34:G34"/>
    <mergeCell ref="H34:I34"/>
    <mergeCell ref="J34:K34"/>
    <mergeCell ref="A35:E35"/>
    <mergeCell ref="F35:G35"/>
    <mergeCell ref="H35:I35"/>
    <mergeCell ref="J35:K35"/>
    <mergeCell ref="A38:E38"/>
    <mergeCell ref="F38:G38"/>
    <mergeCell ref="H38:I38"/>
    <mergeCell ref="J38:K38"/>
    <mergeCell ref="A36:E36"/>
    <mergeCell ref="F36:G36"/>
    <mergeCell ref="H36:I36"/>
    <mergeCell ref="J36:K36"/>
    <mergeCell ref="A37:E37"/>
    <mergeCell ref="F37:G37"/>
    <mergeCell ref="H37:I37"/>
    <mergeCell ref="J37:K37"/>
  </mergeCells>
  <pageMargins left="0.511811024" right="0.511811024" top="0.78740157499999996" bottom="0.78740157499999996" header="0.31496062000000002" footer="0.31496062000000002"/>
  <pageSetup paperSize="9" scale="87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6C6AC"/>
  </sheetPr>
  <dimension ref="C1:I1002"/>
  <sheetViews>
    <sheetView showGridLines="0" topLeftCell="A14" workbookViewId="0">
      <selection activeCell="K27" sqref="K27"/>
    </sheetView>
  </sheetViews>
  <sheetFormatPr defaultColWidth="12.5703125" defaultRowHeight="15" customHeight="1" x14ac:dyDescent="0.25"/>
  <cols>
    <col min="1" max="2" width="8.5703125" customWidth="1"/>
    <col min="3" max="3" width="15.7109375" bestFit="1" customWidth="1"/>
    <col min="4" max="4" width="57.85546875" customWidth="1"/>
    <col min="5" max="5" width="16.42578125" customWidth="1"/>
    <col min="6" max="6" width="15.42578125" customWidth="1"/>
    <col min="7" max="7" width="8.5703125" customWidth="1"/>
    <col min="8" max="8" width="10.28515625" bestFit="1" customWidth="1"/>
    <col min="9" max="9" width="9.28515625" bestFit="1" customWidth="1"/>
    <col min="10" max="23" width="8.5703125" customWidth="1"/>
  </cols>
  <sheetData>
    <row r="1" spans="3:6" ht="14.25" customHeight="1" x14ac:dyDescent="0.25">
      <c r="C1" s="1"/>
      <c r="E1" s="1"/>
      <c r="F1" s="1"/>
    </row>
    <row r="2" spans="3:6" ht="14.25" customHeight="1" x14ac:dyDescent="0.25">
      <c r="C2" s="1"/>
      <c r="E2" s="1"/>
      <c r="F2" s="1"/>
    </row>
    <row r="3" spans="3:6" ht="14.25" customHeight="1" x14ac:dyDescent="0.25">
      <c r="C3" s="1"/>
      <c r="E3" s="1"/>
      <c r="F3" s="1"/>
    </row>
    <row r="4" spans="3:6" ht="14.25" customHeight="1" x14ac:dyDescent="0.25">
      <c r="C4" s="1"/>
      <c r="E4" s="1"/>
      <c r="F4" s="1"/>
    </row>
    <row r="5" spans="3:6" ht="14.25" customHeight="1" x14ac:dyDescent="0.25">
      <c r="C5" s="1"/>
      <c r="E5" s="1"/>
      <c r="F5" s="1"/>
    </row>
    <row r="6" spans="3:6" ht="14.25" customHeight="1" x14ac:dyDescent="0.25">
      <c r="C6" s="2" t="s">
        <v>15</v>
      </c>
      <c r="D6" s="2" t="s">
        <v>4</v>
      </c>
      <c r="E6" s="2" t="s">
        <v>14</v>
      </c>
      <c r="F6" s="2" t="s">
        <v>16</v>
      </c>
    </row>
    <row r="7" spans="3:6" ht="14.25" customHeight="1" x14ac:dyDescent="0.25">
      <c r="C7" s="84" t="s">
        <v>159</v>
      </c>
      <c r="D7" s="85" t="s">
        <v>131</v>
      </c>
      <c r="E7" s="84" t="s">
        <v>132</v>
      </c>
      <c r="F7" s="86">
        <v>2500</v>
      </c>
    </row>
    <row r="8" spans="3:6" ht="14.25" customHeight="1" x14ac:dyDescent="0.25">
      <c r="C8" s="84" t="s">
        <v>159</v>
      </c>
      <c r="D8" s="82" t="s">
        <v>133</v>
      </c>
      <c r="E8" s="84" t="s">
        <v>132</v>
      </c>
      <c r="F8" s="88">
        <v>1800</v>
      </c>
    </row>
    <row r="9" spans="3:6" ht="14.25" customHeight="1" x14ac:dyDescent="0.25">
      <c r="C9" s="84" t="s">
        <v>159</v>
      </c>
      <c r="D9" s="82" t="s">
        <v>134</v>
      </c>
      <c r="E9" s="84" t="s">
        <v>132</v>
      </c>
      <c r="F9" s="88">
        <v>3300</v>
      </c>
    </row>
    <row r="10" spans="3:6" ht="14.25" customHeight="1" x14ac:dyDescent="0.25">
      <c r="C10" s="84" t="s">
        <v>159</v>
      </c>
      <c r="D10" s="82" t="s">
        <v>135</v>
      </c>
      <c r="E10" s="84" t="s">
        <v>132</v>
      </c>
      <c r="F10" s="88">
        <v>2400</v>
      </c>
    </row>
    <row r="11" spans="3:6" ht="14.25" customHeight="1" x14ac:dyDescent="0.25">
      <c r="C11" s="84" t="s">
        <v>159</v>
      </c>
      <c r="D11" s="82" t="s">
        <v>136</v>
      </c>
      <c r="E11" s="84" t="s">
        <v>132</v>
      </c>
      <c r="F11" s="88">
        <v>5112</v>
      </c>
    </row>
    <row r="12" spans="3:6" ht="14.25" customHeight="1" x14ac:dyDescent="0.25">
      <c r="C12" s="84" t="s">
        <v>159</v>
      </c>
      <c r="D12" s="82" t="s">
        <v>137</v>
      </c>
      <c r="E12" s="84" t="s">
        <v>132</v>
      </c>
      <c r="F12" s="88">
        <v>4000</v>
      </c>
    </row>
    <row r="13" spans="3:6" ht="14.25" customHeight="1" x14ac:dyDescent="0.25">
      <c r="C13" s="84" t="s">
        <v>159</v>
      </c>
      <c r="D13" s="82" t="s">
        <v>364</v>
      </c>
      <c r="E13" s="84" t="s">
        <v>148</v>
      </c>
      <c r="F13" s="88">
        <f>4000/31</f>
        <v>129.03225806451613</v>
      </c>
    </row>
    <row r="14" spans="3:6" ht="14.25" customHeight="1" x14ac:dyDescent="0.25">
      <c r="C14" s="84" t="s">
        <v>159</v>
      </c>
      <c r="D14" s="82" t="s">
        <v>138</v>
      </c>
      <c r="E14" s="84" t="s">
        <v>132</v>
      </c>
      <c r="F14" s="88">
        <v>5200</v>
      </c>
    </row>
    <row r="15" spans="3:6" s="64" customFormat="1" ht="14.25" customHeight="1" x14ac:dyDescent="0.25">
      <c r="C15" s="84" t="s">
        <v>159</v>
      </c>
      <c r="D15" s="82" t="s">
        <v>139</v>
      </c>
      <c r="E15" s="84" t="s">
        <v>132</v>
      </c>
      <c r="F15" s="83">
        <v>6000</v>
      </c>
    </row>
    <row r="16" spans="3:6" ht="14.25" customHeight="1" x14ac:dyDescent="0.25">
      <c r="C16" s="84" t="s">
        <v>159</v>
      </c>
      <c r="D16" s="82" t="s">
        <v>140</v>
      </c>
      <c r="E16" s="84" t="s">
        <v>132</v>
      </c>
      <c r="F16" s="83">
        <v>4770</v>
      </c>
    </row>
    <row r="17" spans="3:6" ht="14.25" customHeight="1" x14ac:dyDescent="0.25">
      <c r="C17" s="84" t="s">
        <v>159</v>
      </c>
      <c r="D17" s="82" t="s">
        <v>141</v>
      </c>
      <c r="E17" s="84" t="s">
        <v>132</v>
      </c>
      <c r="F17" s="83">
        <v>3300</v>
      </c>
    </row>
    <row r="18" spans="3:6" ht="14.25" customHeight="1" x14ac:dyDescent="0.25">
      <c r="C18" s="84" t="s">
        <v>159</v>
      </c>
      <c r="D18" s="82" t="s">
        <v>142</v>
      </c>
      <c r="E18" s="84" t="s">
        <v>132</v>
      </c>
      <c r="F18" s="83">
        <v>4770</v>
      </c>
    </row>
    <row r="19" spans="3:6" ht="14.25" customHeight="1" x14ac:dyDescent="0.25">
      <c r="C19" s="84" t="s">
        <v>159</v>
      </c>
      <c r="D19" s="82" t="s">
        <v>143</v>
      </c>
      <c r="E19" s="84" t="s">
        <v>132</v>
      </c>
      <c r="F19" s="83">
        <v>4950</v>
      </c>
    </row>
    <row r="20" spans="3:6" ht="14.25" customHeight="1" x14ac:dyDescent="0.25">
      <c r="C20" s="84" t="s">
        <v>159</v>
      </c>
      <c r="D20" s="82" t="s">
        <v>144</v>
      </c>
      <c r="E20" s="84" t="s">
        <v>132</v>
      </c>
      <c r="F20" s="83">
        <v>5200</v>
      </c>
    </row>
    <row r="21" spans="3:6" ht="14.25" customHeight="1" x14ac:dyDescent="0.25">
      <c r="C21" s="84" t="s">
        <v>159</v>
      </c>
      <c r="D21" s="80" t="s">
        <v>145</v>
      </c>
      <c r="E21" s="79" t="s">
        <v>132</v>
      </c>
      <c r="F21" s="81">
        <v>4770</v>
      </c>
    </row>
    <row r="22" spans="3:6" ht="14.25" customHeight="1" x14ac:dyDescent="0.25">
      <c r="C22" s="84" t="s">
        <v>159</v>
      </c>
      <c r="D22" s="80" t="s">
        <v>146</v>
      </c>
      <c r="E22" s="79" t="s">
        <v>132</v>
      </c>
      <c r="F22" s="81">
        <v>3862.16</v>
      </c>
    </row>
    <row r="23" spans="3:6" ht="14.25" customHeight="1" x14ac:dyDescent="0.25">
      <c r="C23" s="84" t="s">
        <v>159</v>
      </c>
      <c r="D23" s="82" t="s">
        <v>147</v>
      </c>
      <c r="E23" s="84" t="s">
        <v>148</v>
      </c>
      <c r="F23" s="83">
        <v>1400</v>
      </c>
    </row>
    <row r="24" spans="3:6" ht="14.25" customHeight="1" x14ac:dyDescent="0.25">
      <c r="C24" s="84" t="s">
        <v>159</v>
      </c>
      <c r="D24" s="82" t="s">
        <v>149</v>
      </c>
      <c r="E24" s="84" t="s">
        <v>132</v>
      </c>
      <c r="F24" s="83">
        <v>19500</v>
      </c>
    </row>
    <row r="25" spans="3:6" ht="14.25" customHeight="1" x14ac:dyDescent="0.25">
      <c r="C25" s="84" t="s">
        <v>159</v>
      </c>
      <c r="D25" s="82" t="s">
        <v>150</v>
      </c>
      <c r="E25" s="84" t="s">
        <v>132</v>
      </c>
      <c r="F25" s="83">
        <v>2400</v>
      </c>
    </row>
    <row r="26" spans="3:6" ht="14.25" customHeight="1" x14ac:dyDescent="0.25">
      <c r="C26" s="84" t="s">
        <v>159</v>
      </c>
      <c r="D26" s="82" t="s">
        <v>151</v>
      </c>
      <c r="E26" s="84" t="s">
        <v>132</v>
      </c>
      <c r="F26" s="88">
        <v>2600</v>
      </c>
    </row>
    <row r="27" spans="3:6" ht="14.25" customHeight="1" x14ac:dyDescent="0.25">
      <c r="C27" s="84" t="s">
        <v>159</v>
      </c>
      <c r="D27" s="82" t="s">
        <v>152</v>
      </c>
      <c r="E27" s="84" t="s">
        <v>132</v>
      </c>
      <c r="F27" s="83">
        <v>3300</v>
      </c>
    </row>
    <row r="28" spans="3:6" ht="14.25" customHeight="1" x14ac:dyDescent="0.25">
      <c r="C28" s="84" t="s">
        <v>159</v>
      </c>
      <c r="D28" s="82" t="s">
        <v>153</v>
      </c>
      <c r="E28" s="84" t="s">
        <v>132</v>
      </c>
      <c r="F28" s="83">
        <v>5066.16</v>
      </c>
    </row>
    <row r="29" spans="3:6" ht="14.25" customHeight="1" x14ac:dyDescent="0.25">
      <c r="C29" s="84" t="s">
        <v>159</v>
      </c>
      <c r="D29" s="106" t="s">
        <v>154</v>
      </c>
      <c r="E29" s="107" t="s">
        <v>132</v>
      </c>
      <c r="F29" s="108">
        <v>1800</v>
      </c>
    </row>
    <row r="30" spans="3:6" ht="14.25" customHeight="1" x14ac:dyDescent="0.25">
      <c r="C30" s="84" t="s">
        <v>159</v>
      </c>
      <c r="D30" s="106" t="s">
        <v>155</v>
      </c>
      <c r="E30" s="107" t="s">
        <v>132</v>
      </c>
      <c r="F30" s="108">
        <v>2000</v>
      </c>
    </row>
    <row r="31" spans="3:6" ht="14.25" customHeight="1" x14ac:dyDescent="0.25">
      <c r="C31" s="84" t="s">
        <v>159</v>
      </c>
      <c r="D31" s="106" t="s">
        <v>156</v>
      </c>
      <c r="E31" s="107" t="s">
        <v>132</v>
      </c>
      <c r="F31" s="109">
        <v>2200</v>
      </c>
    </row>
    <row r="32" spans="3:6" ht="14.25" customHeight="1" x14ac:dyDescent="0.25">
      <c r="C32" s="84" t="s">
        <v>159</v>
      </c>
      <c r="D32" s="106" t="s">
        <v>157</v>
      </c>
      <c r="E32" s="110" t="s">
        <v>132</v>
      </c>
      <c r="F32" s="111">
        <v>1800</v>
      </c>
    </row>
    <row r="33" spans="3:9" ht="14.25" customHeight="1" x14ac:dyDescent="0.25">
      <c r="C33" s="84" t="s">
        <v>159</v>
      </c>
      <c r="D33" s="106" t="s">
        <v>158</v>
      </c>
      <c r="E33" s="107" t="s">
        <v>132</v>
      </c>
      <c r="F33" s="111">
        <v>2534.8200000000002</v>
      </c>
    </row>
    <row r="34" spans="3:9" ht="14.25" customHeight="1" x14ac:dyDescent="0.25">
      <c r="C34" s="89"/>
      <c r="D34" s="118" t="s">
        <v>358</v>
      </c>
      <c r="E34" s="119" t="s">
        <v>148</v>
      </c>
      <c r="F34" s="120">
        <v>87</v>
      </c>
    </row>
    <row r="35" spans="3:9" ht="14.25" customHeight="1" x14ac:dyDescent="0.25">
      <c r="C35" s="84"/>
      <c r="D35" s="121" t="s">
        <v>359</v>
      </c>
      <c r="E35" s="119" t="s">
        <v>148</v>
      </c>
      <c r="F35" s="122">
        <v>190</v>
      </c>
      <c r="G35" s="104"/>
    </row>
    <row r="36" spans="3:9" ht="14.25" customHeight="1" x14ac:dyDescent="0.25">
      <c r="C36" s="84"/>
      <c r="D36" s="123" t="s">
        <v>360</v>
      </c>
      <c r="E36" s="119" t="s">
        <v>148</v>
      </c>
      <c r="F36" s="124">
        <v>87</v>
      </c>
      <c r="H36" s="105"/>
      <c r="I36" s="105"/>
    </row>
    <row r="37" spans="3:9" ht="14.25" customHeight="1" x14ac:dyDescent="0.25">
      <c r="C37" s="87"/>
      <c r="D37" s="121" t="s">
        <v>361</v>
      </c>
      <c r="E37" s="119" t="s">
        <v>148</v>
      </c>
      <c r="F37" s="124">
        <f>4770/30</f>
        <v>159</v>
      </c>
    </row>
    <row r="38" spans="3:9" ht="14.25" customHeight="1" x14ac:dyDescent="0.25">
      <c r="C38" s="87"/>
      <c r="D38" s="121" t="s">
        <v>363</v>
      </c>
      <c r="E38" s="119" t="s">
        <v>148</v>
      </c>
      <c r="F38" s="125">
        <f>1800/30</f>
        <v>60</v>
      </c>
    </row>
    <row r="39" spans="3:9" ht="14.25" customHeight="1" x14ac:dyDescent="0.25">
      <c r="C39" s="87"/>
      <c r="D39" s="123" t="s">
        <v>362</v>
      </c>
      <c r="E39" s="119" t="s">
        <v>148</v>
      </c>
      <c r="F39" s="122">
        <v>67</v>
      </c>
    </row>
    <row r="40" spans="3:9" ht="14.25" customHeight="1" x14ac:dyDescent="0.25">
      <c r="C40" s="87"/>
      <c r="D40" s="113"/>
      <c r="E40" s="112"/>
      <c r="F40" s="111"/>
    </row>
    <row r="41" spans="3:9" ht="14.25" customHeight="1" x14ac:dyDescent="0.25">
      <c r="C41" s="87"/>
      <c r="D41" s="113"/>
      <c r="E41" s="112"/>
      <c r="F41" s="111"/>
    </row>
    <row r="42" spans="3:9" ht="14.25" customHeight="1" x14ac:dyDescent="0.25">
      <c r="C42" s="87"/>
      <c r="D42" s="113"/>
      <c r="E42" s="112"/>
      <c r="F42" s="111"/>
    </row>
    <row r="43" spans="3:9" ht="14.25" customHeight="1" x14ac:dyDescent="0.25">
      <c r="C43" s="87"/>
      <c r="D43" s="113"/>
      <c r="E43" s="112"/>
      <c r="F43" s="111"/>
    </row>
    <row r="44" spans="3:9" ht="14.25" customHeight="1" x14ac:dyDescent="0.25">
      <c r="C44" s="87"/>
      <c r="D44" s="113"/>
      <c r="E44" s="112"/>
      <c r="F44" s="111"/>
    </row>
    <row r="45" spans="3:9" ht="14.25" customHeight="1" x14ac:dyDescent="0.25">
      <c r="C45" s="87"/>
      <c r="D45" s="113"/>
      <c r="E45" s="112"/>
      <c r="F45" s="114"/>
    </row>
    <row r="46" spans="3:9" ht="14.25" customHeight="1" x14ac:dyDescent="0.25">
      <c r="C46" s="87"/>
      <c r="D46" s="113"/>
      <c r="E46" s="112"/>
      <c r="F46" s="114"/>
    </row>
    <row r="47" spans="3:9" ht="14.25" customHeight="1" x14ac:dyDescent="0.25">
      <c r="C47" s="87"/>
      <c r="D47" s="113"/>
      <c r="E47" s="112"/>
      <c r="F47" s="114"/>
    </row>
    <row r="48" spans="3:9" ht="14.25" customHeight="1" x14ac:dyDescent="0.25">
      <c r="C48" s="87"/>
      <c r="D48" s="113"/>
      <c r="E48" s="112"/>
      <c r="F48" s="114"/>
    </row>
    <row r="49" spans="3:6" ht="14.25" customHeight="1" x14ac:dyDescent="0.25">
      <c r="C49" s="1"/>
      <c r="D49" s="115"/>
      <c r="E49" s="116"/>
      <c r="F49" s="116"/>
    </row>
    <row r="50" spans="3:6" ht="14.25" customHeight="1" x14ac:dyDescent="0.25">
      <c r="C50" s="1"/>
      <c r="D50" s="115"/>
      <c r="E50" s="116"/>
      <c r="F50" s="116"/>
    </row>
    <row r="51" spans="3:6" ht="14.25" customHeight="1" x14ac:dyDescent="0.25">
      <c r="C51" s="1"/>
      <c r="D51" s="115"/>
      <c r="E51" s="116"/>
      <c r="F51" s="116"/>
    </row>
    <row r="52" spans="3:6" ht="14.25" customHeight="1" x14ac:dyDescent="0.25">
      <c r="C52" s="1"/>
      <c r="D52" s="115"/>
      <c r="E52" s="116"/>
      <c r="F52" s="116"/>
    </row>
    <row r="53" spans="3:6" ht="14.25" customHeight="1" x14ac:dyDescent="0.25">
      <c r="C53" s="1"/>
      <c r="D53" s="115"/>
      <c r="E53" s="116"/>
      <c r="F53" s="116"/>
    </row>
    <row r="54" spans="3:6" ht="14.25" customHeight="1" x14ac:dyDescent="0.25">
      <c r="C54" s="1"/>
      <c r="D54" s="115"/>
      <c r="E54" s="116"/>
      <c r="F54" s="116"/>
    </row>
    <row r="55" spans="3:6" ht="14.25" customHeight="1" x14ac:dyDescent="0.25">
      <c r="C55" s="1"/>
      <c r="D55" s="115"/>
      <c r="E55" s="116"/>
      <c r="F55" s="116"/>
    </row>
    <row r="56" spans="3:6" ht="14.25" customHeight="1" x14ac:dyDescent="0.25">
      <c r="C56" s="1"/>
      <c r="D56" s="115"/>
      <c r="E56" s="116"/>
      <c r="F56" s="116"/>
    </row>
    <row r="57" spans="3:6" ht="14.25" customHeight="1" x14ac:dyDescent="0.25">
      <c r="C57" s="1"/>
      <c r="D57" s="115"/>
      <c r="E57" s="116"/>
      <c r="F57" s="116"/>
    </row>
    <row r="58" spans="3:6" ht="14.25" customHeight="1" x14ac:dyDescent="0.25">
      <c r="C58" s="1"/>
      <c r="D58" s="115"/>
      <c r="E58" s="116"/>
      <c r="F58" s="116"/>
    </row>
    <row r="59" spans="3:6" ht="14.25" customHeight="1" x14ac:dyDescent="0.25">
      <c r="C59" s="1"/>
      <c r="D59" s="115"/>
      <c r="E59" s="116"/>
      <c r="F59" s="116"/>
    </row>
    <row r="60" spans="3:6" ht="14.25" customHeight="1" x14ac:dyDescent="0.25">
      <c r="C60" s="1"/>
      <c r="D60" s="115"/>
      <c r="E60" s="116"/>
      <c r="F60" s="116"/>
    </row>
    <row r="61" spans="3:6" ht="14.25" customHeight="1" x14ac:dyDescent="0.25">
      <c r="C61" s="1"/>
      <c r="D61" s="115"/>
      <c r="E61" s="116"/>
      <c r="F61" s="116"/>
    </row>
    <row r="62" spans="3:6" ht="14.25" customHeight="1" x14ac:dyDescent="0.25">
      <c r="C62" s="1"/>
      <c r="D62" s="115"/>
      <c r="E62" s="116"/>
      <c r="F62" s="116"/>
    </row>
    <row r="63" spans="3:6" ht="14.25" customHeight="1" x14ac:dyDescent="0.25">
      <c r="C63" s="1"/>
      <c r="D63" s="115"/>
      <c r="E63" s="116"/>
      <c r="F63" s="116"/>
    </row>
    <row r="64" spans="3:6" ht="14.25" customHeight="1" x14ac:dyDescent="0.25">
      <c r="C64" s="1"/>
      <c r="D64" s="115"/>
      <c r="E64" s="116"/>
      <c r="F64" s="116"/>
    </row>
    <row r="65" spans="3:6" ht="14.25" customHeight="1" x14ac:dyDescent="0.25">
      <c r="C65" s="1"/>
      <c r="D65" s="115"/>
      <c r="E65" s="116"/>
      <c r="F65" s="116"/>
    </row>
    <row r="66" spans="3:6" ht="14.25" customHeight="1" x14ac:dyDescent="0.25">
      <c r="C66" s="1"/>
      <c r="D66" s="115"/>
      <c r="E66" s="116"/>
      <c r="F66" s="116"/>
    </row>
    <row r="67" spans="3:6" ht="14.25" customHeight="1" x14ac:dyDescent="0.25">
      <c r="C67" s="1"/>
      <c r="D67" s="115"/>
      <c r="E67" s="116"/>
      <c r="F67" s="116"/>
    </row>
    <row r="68" spans="3:6" ht="14.25" customHeight="1" x14ac:dyDescent="0.25">
      <c r="C68" s="1"/>
      <c r="D68" s="115"/>
      <c r="E68" s="116"/>
      <c r="F68" s="116"/>
    </row>
    <row r="69" spans="3:6" ht="14.25" customHeight="1" x14ac:dyDescent="0.25">
      <c r="C69" s="1"/>
      <c r="D69" s="115"/>
      <c r="E69" s="116"/>
      <c r="F69" s="116"/>
    </row>
    <row r="70" spans="3:6" ht="14.25" customHeight="1" x14ac:dyDescent="0.25">
      <c r="C70" s="1"/>
      <c r="D70" s="115"/>
      <c r="E70" s="116"/>
      <c r="F70" s="116"/>
    </row>
    <row r="71" spans="3:6" ht="14.25" customHeight="1" x14ac:dyDescent="0.25">
      <c r="C71" s="1"/>
      <c r="D71" s="115"/>
      <c r="E71" s="116"/>
      <c r="F71" s="116"/>
    </row>
    <row r="72" spans="3:6" ht="14.25" customHeight="1" x14ac:dyDescent="0.25">
      <c r="C72" s="1"/>
      <c r="D72" s="115"/>
      <c r="E72" s="116"/>
      <c r="F72" s="116"/>
    </row>
    <row r="73" spans="3:6" ht="14.25" customHeight="1" x14ac:dyDescent="0.25">
      <c r="C73" s="1"/>
      <c r="D73" s="115"/>
      <c r="E73" s="116"/>
      <c r="F73" s="116"/>
    </row>
    <row r="74" spans="3:6" ht="14.25" customHeight="1" x14ac:dyDescent="0.25">
      <c r="C74" s="1"/>
      <c r="D74" s="115"/>
      <c r="E74" s="116"/>
      <c r="F74" s="116"/>
    </row>
    <row r="75" spans="3:6" ht="14.25" customHeight="1" x14ac:dyDescent="0.25">
      <c r="C75" s="1"/>
      <c r="D75" s="115"/>
      <c r="E75" s="116"/>
      <c r="F75" s="116"/>
    </row>
    <row r="76" spans="3:6" ht="14.25" customHeight="1" x14ac:dyDescent="0.25">
      <c r="C76" s="1"/>
      <c r="D76" s="115"/>
      <c r="E76" s="116"/>
      <c r="F76" s="116"/>
    </row>
    <row r="77" spans="3:6" ht="14.25" customHeight="1" x14ac:dyDescent="0.25">
      <c r="C77" s="1"/>
      <c r="D77" s="115"/>
      <c r="E77" s="116"/>
      <c r="F77" s="116"/>
    </row>
    <row r="78" spans="3:6" ht="14.25" customHeight="1" x14ac:dyDescent="0.25">
      <c r="C78" s="1"/>
      <c r="D78" s="115"/>
      <c r="E78" s="116"/>
      <c r="F78" s="116"/>
    </row>
    <row r="79" spans="3:6" ht="14.25" customHeight="1" x14ac:dyDescent="0.25">
      <c r="C79" s="1"/>
      <c r="D79" s="115"/>
      <c r="E79" s="116"/>
      <c r="F79" s="116"/>
    </row>
    <row r="80" spans="3:6" ht="14.25" customHeight="1" x14ac:dyDescent="0.25">
      <c r="C80" s="1"/>
      <c r="D80" s="115"/>
      <c r="E80" s="116"/>
      <c r="F80" s="116"/>
    </row>
    <row r="81" spans="3:6" ht="14.25" customHeight="1" x14ac:dyDescent="0.25">
      <c r="C81" s="1"/>
      <c r="D81" s="115"/>
      <c r="E81" s="116"/>
      <c r="F81" s="116"/>
    </row>
    <row r="82" spans="3:6" ht="14.25" customHeight="1" x14ac:dyDescent="0.25">
      <c r="C82" s="1"/>
      <c r="D82" s="115"/>
      <c r="E82" s="116"/>
      <c r="F82" s="116"/>
    </row>
    <row r="83" spans="3:6" ht="14.25" customHeight="1" x14ac:dyDescent="0.25">
      <c r="C83" s="1"/>
      <c r="D83" s="115"/>
      <c r="E83" s="116"/>
      <c r="F83" s="116"/>
    </row>
    <row r="84" spans="3:6" ht="14.25" customHeight="1" x14ac:dyDescent="0.25">
      <c r="C84" s="1"/>
      <c r="D84" s="115"/>
      <c r="E84" s="116"/>
      <c r="F84" s="116"/>
    </row>
    <row r="85" spans="3:6" ht="14.25" customHeight="1" x14ac:dyDescent="0.25">
      <c r="C85" s="1"/>
      <c r="D85" s="115"/>
      <c r="E85" s="116"/>
      <c r="F85" s="116"/>
    </row>
    <row r="86" spans="3:6" ht="14.25" customHeight="1" x14ac:dyDescent="0.25">
      <c r="C86" s="1"/>
      <c r="D86" s="115"/>
      <c r="E86" s="116"/>
      <c r="F86" s="116"/>
    </row>
    <row r="87" spans="3:6" ht="14.25" customHeight="1" x14ac:dyDescent="0.25">
      <c r="C87" s="1"/>
      <c r="D87" s="115"/>
      <c r="E87" s="116"/>
      <c r="F87" s="116"/>
    </row>
    <row r="88" spans="3:6" ht="14.25" customHeight="1" x14ac:dyDescent="0.25">
      <c r="C88" s="1"/>
      <c r="D88" s="115"/>
      <c r="E88" s="116"/>
      <c r="F88" s="116"/>
    </row>
    <row r="89" spans="3:6" ht="14.25" customHeight="1" x14ac:dyDescent="0.25">
      <c r="C89" s="1"/>
      <c r="D89" s="115"/>
      <c r="E89" s="116"/>
      <c r="F89" s="116"/>
    </row>
    <row r="90" spans="3:6" ht="14.25" customHeight="1" x14ac:dyDescent="0.25">
      <c r="C90" s="1"/>
      <c r="D90" s="115"/>
      <c r="E90" s="116"/>
      <c r="F90" s="116"/>
    </row>
    <row r="91" spans="3:6" ht="14.25" customHeight="1" x14ac:dyDescent="0.25">
      <c r="C91" s="1"/>
      <c r="D91" s="115"/>
      <c r="E91" s="116"/>
      <c r="F91" s="116"/>
    </row>
    <row r="92" spans="3:6" ht="14.25" customHeight="1" x14ac:dyDescent="0.25">
      <c r="C92" s="1"/>
      <c r="D92" s="115"/>
      <c r="E92" s="116"/>
      <c r="F92" s="116"/>
    </row>
    <row r="93" spans="3:6" ht="14.25" customHeight="1" x14ac:dyDescent="0.25">
      <c r="C93" s="1"/>
      <c r="D93" s="115"/>
      <c r="E93" s="116"/>
      <c r="F93" s="116"/>
    </row>
    <row r="94" spans="3:6" ht="14.25" customHeight="1" x14ac:dyDescent="0.25">
      <c r="C94" s="1"/>
      <c r="D94" s="115"/>
      <c r="E94" s="116"/>
      <c r="F94" s="116"/>
    </row>
    <row r="95" spans="3:6" ht="14.25" customHeight="1" x14ac:dyDescent="0.25">
      <c r="C95" s="1"/>
      <c r="D95" s="115"/>
      <c r="E95" s="116"/>
      <c r="F95" s="116"/>
    </row>
    <row r="96" spans="3:6" ht="14.25" customHeight="1" x14ac:dyDescent="0.25">
      <c r="C96" s="1"/>
      <c r="D96" s="115"/>
      <c r="E96" s="116"/>
      <c r="F96" s="116"/>
    </row>
    <row r="97" spans="3:6" ht="14.25" customHeight="1" x14ac:dyDescent="0.25">
      <c r="C97" s="1"/>
      <c r="D97" s="115"/>
      <c r="E97" s="116"/>
      <c r="F97" s="116"/>
    </row>
    <row r="98" spans="3:6" ht="14.25" customHeight="1" x14ac:dyDescent="0.25">
      <c r="C98" s="1"/>
      <c r="D98" s="115"/>
      <c r="E98" s="116"/>
      <c r="F98" s="116"/>
    </row>
    <row r="99" spans="3:6" ht="14.25" customHeight="1" x14ac:dyDescent="0.25">
      <c r="C99" s="1"/>
      <c r="D99" s="115"/>
      <c r="E99" s="116"/>
      <c r="F99" s="116"/>
    </row>
    <row r="100" spans="3:6" ht="14.25" customHeight="1" x14ac:dyDescent="0.25">
      <c r="C100" s="1"/>
      <c r="D100" s="115"/>
      <c r="E100" s="116"/>
      <c r="F100" s="116"/>
    </row>
    <row r="101" spans="3:6" ht="14.25" customHeight="1" x14ac:dyDescent="0.25">
      <c r="C101" s="1"/>
      <c r="D101" s="115"/>
      <c r="E101" s="116"/>
      <c r="F101" s="116"/>
    </row>
    <row r="102" spans="3:6" ht="14.25" customHeight="1" x14ac:dyDescent="0.25">
      <c r="C102" s="1"/>
      <c r="D102" s="115"/>
      <c r="E102" s="116"/>
      <c r="F102" s="116"/>
    </row>
    <row r="103" spans="3:6" ht="14.25" customHeight="1" x14ac:dyDescent="0.25">
      <c r="C103" s="1"/>
      <c r="D103" s="115"/>
      <c r="E103" s="116"/>
      <c r="F103" s="116"/>
    </row>
    <row r="104" spans="3:6" ht="14.25" customHeight="1" x14ac:dyDescent="0.25">
      <c r="C104" s="1"/>
      <c r="D104" s="115"/>
      <c r="E104" s="116"/>
      <c r="F104" s="116"/>
    </row>
    <row r="105" spans="3:6" ht="14.25" customHeight="1" x14ac:dyDescent="0.25">
      <c r="C105" s="1"/>
      <c r="D105" s="115"/>
      <c r="E105" s="116"/>
      <c r="F105" s="116"/>
    </row>
    <row r="106" spans="3:6" ht="14.25" customHeight="1" x14ac:dyDescent="0.25">
      <c r="C106" s="1"/>
      <c r="D106" s="115"/>
      <c r="E106" s="116"/>
      <c r="F106" s="116"/>
    </row>
    <row r="107" spans="3:6" ht="14.25" customHeight="1" x14ac:dyDescent="0.25">
      <c r="C107" s="1"/>
      <c r="D107" s="115"/>
      <c r="E107" s="116"/>
      <c r="F107" s="116"/>
    </row>
    <row r="108" spans="3:6" ht="14.25" customHeight="1" x14ac:dyDescent="0.25">
      <c r="C108" s="1"/>
      <c r="D108" s="115"/>
      <c r="E108" s="116"/>
      <c r="F108" s="116"/>
    </row>
    <row r="109" spans="3:6" ht="14.25" customHeight="1" x14ac:dyDescent="0.25">
      <c r="C109" s="1"/>
      <c r="D109" s="115"/>
      <c r="E109" s="116"/>
      <c r="F109" s="116"/>
    </row>
    <row r="110" spans="3:6" ht="14.25" customHeight="1" x14ac:dyDescent="0.25">
      <c r="C110" s="1"/>
      <c r="D110" s="115"/>
      <c r="E110" s="116"/>
      <c r="F110" s="116"/>
    </row>
    <row r="111" spans="3:6" ht="14.25" customHeight="1" x14ac:dyDescent="0.25">
      <c r="C111" s="1"/>
      <c r="D111" s="115"/>
      <c r="E111" s="116"/>
      <c r="F111" s="116"/>
    </row>
    <row r="112" spans="3:6" ht="14.25" customHeight="1" x14ac:dyDescent="0.25">
      <c r="C112" s="1"/>
      <c r="D112" s="115"/>
      <c r="E112" s="116"/>
      <c r="F112" s="116"/>
    </row>
    <row r="113" spans="3:6" ht="14.25" customHeight="1" x14ac:dyDescent="0.25">
      <c r="C113" s="1"/>
      <c r="D113" s="115"/>
      <c r="E113" s="116"/>
      <c r="F113" s="116"/>
    </row>
    <row r="114" spans="3:6" ht="14.25" customHeight="1" x14ac:dyDescent="0.25">
      <c r="C114" s="1"/>
      <c r="D114" s="115"/>
      <c r="E114" s="116"/>
      <c r="F114" s="116"/>
    </row>
    <row r="115" spans="3:6" ht="14.25" customHeight="1" x14ac:dyDescent="0.25">
      <c r="C115" s="1"/>
      <c r="D115" s="115"/>
      <c r="E115" s="116"/>
      <c r="F115" s="116"/>
    </row>
    <row r="116" spans="3:6" ht="14.25" customHeight="1" x14ac:dyDescent="0.25">
      <c r="C116" s="1"/>
      <c r="D116" s="115"/>
      <c r="E116" s="116"/>
      <c r="F116" s="116"/>
    </row>
    <row r="117" spans="3:6" ht="14.25" customHeight="1" x14ac:dyDescent="0.25">
      <c r="C117" s="1"/>
      <c r="D117" s="115"/>
      <c r="E117" s="116"/>
      <c r="F117" s="116"/>
    </row>
    <row r="118" spans="3:6" ht="14.25" customHeight="1" x14ac:dyDescent="0.25">
      <c r="C118" s="1"/>
      <c r="D118" s="115"/>
      <c r="E118" s="116"/>
      <c r="F118" s="116"/>
    </row>
    <row r="119" spans="3:6" ht="14.25" customHeight="1" x14ac:dyDescent="0.25">
      <c r="C119" s="1"/>
      <c r="D119" s="115"/>
      <c r="E119" s="116"/>
      <c r="F119" s="116"/>
    </row>
    <row r="120" spans="3:6" ht="14.25" customHeight="1" x14ac:dyDescent="0.25">
      <c r="C120" s="1"/>
      <c r="D120" s="115"/>
      <c r="E120" s="116"/>
      <c r="F120" s="116"/>
    </row>
    <row r="121" spans="3:6" ht="14.25" customHeight="1" x14ac:dyDescent="0.25">
      <c r="C121" s="1"/>
      <c r="D121" s="115"/>
      <c r="E121" s="116"/>
      <c r="F121" s="116"/>
    </row>
    <row r="122" spans="3:6" ht="14.25" customHeight="1" x14ac:dyDescent="0.25">
      <c r="C122" s="1"/>
      <c r="D122" s="115"/>
      <c r="E122" s="116"/>
      <c r="F122" s="116"/>
    </row>
    <row r="123" spans="3:6" ht="14.25" customHeight="1" x14ac:dyDescent="0.25">
      <c r="C123" s="1"/>
      <c r="E123" s="1"/>
      <c r="F123" s="1"/>
    </row>
    <row r="124" spans="3:6" ht="14.25" customHeight="1" x14ac:dyDescent="0.25">
      <c r="C124" s="1"/>
      <c r="E124" s="1"/>
      <c r="F124" s="1"/>
    </row>
    <row r="125" spans="3:6" ht="14.25" customHeight="1" x14ac:dyDescent="0.25">
      <c r="C125" s="1"/>
      <c r="E125" s="1"/>
      <c r="F125" s="1"/>
    </row>
    <row r="126" spans="3:6" ht="14.25" customHeight="1" x14ac:dyDescent="0.25">
      <c r="C126" s="1"/>
      <c r="E126" s="1"/>
      <c r="F126" s="1"/>
    </row>
    <row r="127" spans="3:6" ht="14.25" customHeight="1" x14ac:dyDescent="0.25">
      <c r="C127" s="1"/>
      <c r="E127" s="1"/>
      <c r="F127" s="1"/>
    </row>
    <row r="128" spans="3:6" ht="14.25" customHeight="1" x14ac:dyDescent="0.25">
      <c r="C128" s="1"/>
      <c r="E128" s="1"/>
      <c r="F128" s="1"/>
    </row>
    <row r="129" spans="3:6" ht="14.25" customHeight="1" x14ac:dyDescent="0.25">
      <c r="C129" s="1"/>
      <c r="E129" s="1"/>
      <c r="F129" s="1"/>
    </row>
    <row r="130" spans="3:6" ht="14.25" customHeight="1" x14ac:dyDescent="0.25">
      <c r="C130" s="1"/>
      <c r="E130" s="1"/>
      <c r="F130" s="1"/>
    </row>
    <row r="131" spans="3:6" ht="14.25" customHeight="1" x14ac:dyDescent="0.25">
      <c r="C131" s="1"/>
      <c r="E131" s="1"/>
      <c r="F131" s="1"/>
    </row>
    <row r="132" spans="3:6" ht="14.25" customHeight="1" x14ac:dyDescent="0.25">
      <c r="C132" s="1"/>
      <c r="E132" s="1"/>
      <c r="F132" s="1"/>
    </row>
    <row r="133" spans="3:6" ht="14.25" customHeight="1" x14ac:dyDescent="0.25">
      <c r="C133" s="1"/>
      <c r="E133" s="1"/>
      <c r="F133" s="1"/>
    </row>
    <row r="134" spans="3:6" ht="14.25" customHeight="1" x14ac:dyDescent="0.25">
      <c r="C134" s="1"/>
      <c r="E134" s="1"/>
      <c r="F134" s="1"/>
    </row>
    <row r="135" spans="3:6" ht="14.25" customHeight="1" x14ac:dyDescent="0.25">
      <c r="C135" s="1"/>
      <c r="E135" s="1"/>
      <c r="F135" s="1"/>
    </row>
    <row r="136" spans="3:6" ht="14.25" customHeight="1" x14ac:dyDescent="0.25">
      <c r="C136" s="1"/>
      <c r="E136" s="1"/>
      <c r="F136" s="1"/>
    </row>
    <row r="137" spans="3:6" ht="14.25" customHeight="1" x14ac:dyDescent="0.25">
      <c r="C137" s="1"/>
      <c r="E137" s="1"/>
      <c r="F137" s="1"/>
    </row>
    <row r="138" spans="3:6" ht="14.25" customHeight="1" x14ac:dyDescent="0.25">
      <c r="C138" s="1"/>
      <c r="E138" s="1"/>
      <c r="F138" s="1"/>
    </row>
    <row r="139" spans="3:6" ht="14.25" customHeight="1" x14ac:dyDescent="0.25">
      <c r="C139" s="1"/>
      <c r="E139" s="1"/>
      <c r="F139" s="1"/>
    </row>
    <row r="140" spans="3:6" ht="14.25" customHeight="1" x14ac:dyDescent="0.25">
      <c r="C140" s="1"/>
      <c r="E140" s="1"/>
      <c r="F140" s="1"/>
    </row>
    <row r="141" spans="3:6" ht="14.25" customHeight="1" x14ac:dyDescent="0.25">
      <c r="C141" s="1"/>
      <c r="E141" s="1"/>
      <c r="F141" s="1"/>
    </row>
    <row r="142" spans="3:6" ht="14.25" customHeight="1" x14ac:dyDescent="0.25">
      <c r="C142" s="1"/>
      <c r="E142" s="1"/>
      <c r="F142" s="1"/>
    </row>
    <row r="143" spans="3:6" ht="14.25" customHeight="1" x14ac:dyDescent="0.25">
      <c r="C143" s="1"/>
      <c r="E143" s="1"/>
      <c r="F143" s="1"/>
    </row>
    <row r="144" spans="3:6" ht="14.25" customHeight="1" x14ac:dyDescent="0.25">
      <c r="C144" s="1"/>
      <c r="E144" s="1"/>
      <c r="F144" s="1"/>
    </row>
    <row r="145" spans="3:6" ht="14.25" customHeight="1" x14ac:dyDescent="0.25">
      <c r="C145" s="1"/>
      <c r="E145" s="1"/>
      <c r="F145" s="1"/>
    </row>
    <row r="146" spans="3:6" ht="14.25" customHeight="1" x14ac:dyDescent="0.25">
      <c r="C146" s="1"/>
      <c r="E146" s="1"/>
      <c r="F146" s="1"/>
    </row>
    <row r="147" spans="3:6" ht="14.25" customHeight="1" x14ac:dyDescent="0.25">
      <c r="C147" s="1"/>
      <c r="E147" s="1"/>
      <c r="F147" s="1"/>
    </row>
    <row r="148" spans="3:6" ht="14.25" customHeight="1" x14ac:dyDescent="0.25">
      <c r="C148" s="1"/>
      <c r="E148" s="1"/>
      <c r="F148" s="1"/>
    </row>
    <row r="149" spans="3:6" ht="14.25" customHeight="1" x14ac:dyDescent="0.25">
      <c r="C149" s="1"/>
      <c r="E149" s="1"/>
      <c r="F149" s="1"/>
    </row>
    <row r="150" spans="3:6" ht="14.25" customHeight="1" x14ac:dyDescent="0.25">
      <c r="C150" s="1"/>
      <c r="E150" s="1"/>
      <c r="F150" s="1"/>
    </row>
    <row r="151" spans="3:6" ht="14.25" customHeight="1" x14ac:dyDescent="0.25">
      <c r="C151" s="1"/>
      <c r="E151" s="1"/>
      <c r="F151" s="1"/>
    </row>
    <row r="152" spans="3:6" ht="14.25" customHeight="1" x14ac:dyDescent="0.25">
      <c r="C152" s="1"/>
      <c r="E152" s="1"/>
      <c r="F152" s="1"/>
    </row>
    <row r="153" spans="3:6" ht="14.25" customHeight="1" x14ac:dyDescent="0.25">
      <c r="C153" s="1"/>
      <c r="E153" s="1"/>
      <c r="F153" s="1"/>
    </row>
    <row r="154" spans="3:6" ht="14.25" customHeight="1" x14ac:dyDescent="0.25">
      <c r="C154" s="1"/>
      <c r="E154" s="1"/>
      <c r="F154" s="1"/>
    </row>
    <row r="155" spans="3:6" ht="14.25" customHeight="1" x14ac:dyDescent="0.25">
      <c r="C155" s="1"/>
      <c r="E155" s="1"/>
      <c r="F155" s="1"/>
    </row>
    <row r="156" spans="3:6" ht="14.25" customHeight="1" x14ac:dyDescent="0.25">
      <c r="C156" s="1"/>
      <c r="E156" s="1"/>
      <c r="F156" s="1"/>
    </row>
    <row r="157" spans="3:6" ht="14.25" customHeight="1" x14ac:dyDescent="0.25">
      <c r="C157" s="1"/>
      <c r="E157" s="1"/>
      <c r="F157" s="1"/>
    </row>
    <row r="158" spans="3:6" ht="14.25" customHeight="1" x14ac:dyDescent="0.25">
      <c r="C158" s="1"/>
      <c r="E158" s="1"/>
      <c r="F158" s="1"/>
    </row>
    <row r="159" spans="3:6" ht="14.25" customHeight="1" x14ac:dyDescent="0.25">
      <c r="C159" s="1"/>
      <c r="E159" s="1"/>
      <c r="F159" s="1"/>
    </row>
    <row r="160" spans="3:6" ht="14.25" customHeight="1" x14ac:dyDescent="0.25">
      <c r="C160" s="1"/>
      <c r="E160" s="1"/>
      <c r="F160" s="1"/>
    </row>
    <row r="161" spans="3:6" ht="14.25" customHeight="1" x14ac:dyDescent="0.25">
      <c r="C161" s="1"/>
      <c r="E161" s="1"/>
      <c r="F161" s="1"/>
    </row>
    <row r="162" spans="3:6" ht="14.25" customHeight="1" x14ac:dyDescent="0.25">
      <c r="C162" s="1"/>
      <c r="E162" s="1"/>
      <c r="F162" s="1"/>
    </row>
    <row r="163" spans="3:6" ht="14.25" customHeight="1" x14ac:dyDescent="0.25">
      <c r="C163" s="1"/>
      <c r="E163" s="1"/>
      <c r="F163" s="1"/>
    </row>
    <row r="164" spans="3:6" ht="14.25" customHeight="1" x14ac:dyDescent="0.25">
      <c r="C164" s="1"/>
      <c r="E164" s="1"/>
      <c r="F164" s="1"/>
    </row>
    <row r="165" spans="3:6" ht="14.25" customHeight="1" x14ac:dyDescent="0.25">
      <c r="C165" s="1"/>
      <c r="E165" s="1"/>
      <c r="F165" s="1"/>
    </row>
    <row r="166" spans="3:6" ht="14.25" customHeight="1" x14ac:dyDescent="0.25">
      <c r="C166" s="1"/>
      <c r="E166" s="1"/>
      <c r="F166" s="1"/>
    </row>
    <row r="167" spans="3:6" ht="14.25" customHeight="1" x14ac:dyDescent="0.25">
      <c r="C167" s="1"/>
      <c r="E167" s="1"/>
      <c r="F167" s="1"/>
    </row>
    <row r="168" spans="3:6" ht="14.25" customHeight="1" x14ac:dyDescent="0.25">
      <c r="C168" s="1"/>
      <c r="E168" s="1"/>
      <c r="F168" s="1"/>
    </row>
    <row r="169" spans="3:6" ht="14.25" customHeight="1" x14ac:dyDescent="0.25">
      <c r="C169" s="1"/>
      <c r="E169" s="1"/>
      <c r="F169" s="1"/>
    </row>
    <row r="170" spans="3:6" ht="14.25" customHeight="1" x14ac:dyDescent="0.25">
      <c r="C170" s="1"/>
      <c r="E170" s="1"/>
      <c r="F170" s="1"/>
    </row>
    <row r="171" spans="3:6" ht="14.25" customHeight="1" x14ac:dyDescent="0.25">
      <c r="C171" s="1"/>
      <c r="E171" s="1"/>
      <c r="F171" s="1"/>
    </row>
    <row r="172" spans="3:6" ht="14.25" customHeight="1" x14ac:dyDescent="0.25">
      <c r="C172" s="1"/>
      <c r="E172" s="1"/>
      <c r="F172" s="1"/>
    </row>
    <row r="173" spans="3:6" ht="14.25" customHeight="1" x14ac:dyDescent="0.25">
      <c r="C173" s="1"/>
      <c r="E173" s="1"/>
      <c r="F173" s="1"/>
    </row>
    <row r="174" spans="3:6" ht="14.25" customHeight="1" x14ac:dyDescent="0.25">
      <c r="C174" s="1"/>
      <c r="E174" s="1"/>
      <c r="F174" s="1"/>
    </row>
    <row r="175" spans="3:6" ht="14.25" customHeight="1" x14ac:dyDescent="0.25">
      <c r="C175" s="1"/>
      <c r="E175" s="1"/>
      <c r="F175" s="1"/>
    </row>
    <row r="176" spans="3:6" ht="14.25" customHeight="1" x14ac:dyDescent="0.25">
      <c r="C176" s="1"/>
      <c r="E176" s="1"/>
      <c r="F176" s="1"/>
    </row>
    <row r="177" spans="3:6" ht="14.25" customHeight="1" x14ac:dyDescent="0.25">
      <c r="C177" s="1"/>
      <c r="E177" s="1"/>
      <c r="F177" s="1"/>
    </row>
    <row r="178" spans="3:6" ht="14.25" customHeight="1" x14ac:dyDescent="0.25">
      <c r="C178" s="1"/>
      <c r="E178" s="1"/>
      <c r="F178" s="1"/>
    </row>
    <row r="179" spans="3:6" ht="14.25" customHeight="1" x14ac:dyDescent="0.25">
      <c r="C179" s="1"/>
      <c r="E179" s="1"/>
      <c r="F179" s="1"/>
    </row>
    <row r="180" spans="3:6" ht="14.25" customHeight="1" x14ac:dyDescent="0.25">
      <c r="C180" s="1"/>
      <c r="E180" s="1"/>
      <c r="F180" s="1"/>
    </row>
    <row r="181" spans="3:6" ht="14.25" customHeight="1" x14ac:dyDescent="0.25">
      <c r="C181" s="1"/>
      <c r="E181" s="1"/>
      <c r="F181" s="1"/>
    </row>
    <row r="182" spans="3:6" ht="14.25" customHeight="1" x14ac:dyDescent="0.25">
      <c r="C182" s="1"/>
      <c r="E182" s="1"/>
      <c r="F182" s="1"/>
    </row>
    <row r="183" spans="3:6" ht="14.25" customHeight="1" x14ac:dyDescent="0.25">
      <c r="C183" s="1"/>
      <c r="E183" s="1"/>
      <c r="F183" s="1"/>
    </row>
    <row r="184" spans="3:6" ht="14.25" customHeight="1" x14ac:dyDescent="0.25">
      <c r="C184" s="1"/>
      <c r="E184" s="1"/>
      <c r="F184" s="1"/>
    </row>
    <row r="185" spans="3:6" ht="14.25" customHeight="1" x14ac:dyDescent="0.25">
      <c r="C185" s="1"/>
      <c r="E185" s="1"/>
      <c r="F185" s="1"/>
    </row>
    <row r="186" spans="3:6" ht="14.25" customHeight="1" x14ac:dyDescent="0.25">
      <c r="C186" s="1"/>
      <c r="E186" s="1"/>
      <c r="F186" s="1"/>
    </row>
    <row r="187" spans="3:6" ht="14.25" customHeight="1" x14ac:dyDescent="0.25">
      <c r="C187" s="1"/>
      <c r="E187" s="1"/>
      <c r="F187" s="1"/>
    </row>
    <row r="188" spans="3:6" ht="14.25" customHeight="1" x14ac:dyDescent="0.25">
      <c r="C188" s="1"/>
      <c r="E188" s="1"/>
      <c r="F188" s="1"/>
    </row>
    <row r="189" spans="3:6" ht="14.25" customHeight="1" x14ac:dyDescent="0.25">
      <c r="C189" s="1"/>
      <c r="E189" s="1"/>
      <c r="F189" s="1"/>
    </row>
    <row r="190" spans="3:6" ht="14.25" customHeight="1" x14ac:dyDescent="0.25">
      <c r="C190" s="1"/>
      <c r="E190" s="1"/>
      <c r="F190" s="1"/>
    </row>
    <row r="191" spans="3:6" ht="14.25" customHeight="1" x14ac:dyDescent="0.25">
      <c r="C191" s="1"/>
      <c r="E191" s="1"/>
      <c r="F191" s="1"/>
    </row>
    <row r="192" spans="3:6" ht="14.25" customHeight="1" x14ac:dyDescent="0.25">
      <c r="C192" s="1"/>
      <c r="E192" s="1"/>
      <c r="F192" s="1"/>
    </row>
    <row r="193" spans="3:6" ht="14.25" customHeight="1" x14ac:dyDescent="0.25">
      <c r="C193" s="1"/>
      <c r="E193" s="1"/>
      <c r="F193" s="1"/>
    </row>
    <row r="194" spans="3:6" ht="14.25" customHeight="1" x14ac:dyDescent="0.25">
      <c r="C194" s="1"/>
      <c r="E194" s="1"/>
      <c r="F194" s="1"/>
    </row>
    <row r="195" spans="3:6" ht="14.25" customHeight="1" x14ac:dyDescent="0.25">
      <c r="C195" s="1"/>
      <c r="E195" s="1"/>
      <c r="F195" s="1"/>
    </row>
    <row r="196" spans="3:6" ht="14.25" customHeight="1" x14ac:dyDescent="0.25">
      <c r="C196" s="1"/>
      <c r="E196" s="1"/>
      <c r="F196" s="1"/>
    </row>
    <row r="197" spans="3:6" ht="14.25" customHeight="1" x14ac:dyDescent="0.25">
      <c r="C197" s="1"/>
      <c r="E197" s="1"/>
      <c r="F197" s="1"/>
    </row>
    <row r="198" spans="3:6" ht="14.25" customHeight="1" x14ac:dyDescent="0.25">
      <c r="C198" s="1"/>
      <c r="E198" s="1"/>
      <c r="F198" s="1"/>
    </row>
    <row r="199" spans="3:6" ht="14.25" customHeight="1" x14ac:dyDescent="0.25">
      <c r="C199" s="1"/>
      <c r="E199" s="1"/>
      <c r="F199" s="1"/>
    </row>
    <row r="200" spans="3:6" ht="14.25" customHeight="1" x14ac:dyDescent="0.25">
      <c r="C200" s="1"/>
      <c r="E200" s="1"/>
      <c r="F200" s="1"/>
    </row>
    <row r="201" spans="3:6" ht="14.25" customHeight="1" x14ac:dyDescent="0.25">
      <c r="C201" s="1"/>
      <c r="E201" s="1"/>
      <c r="F201" s="1"/>
    </row>
    <row r="202" spans="3:6" ht="14.25" customHeight="1" x14ac:dyDescent="0.25">
      <c r="C202" s="1"/>
      <c r="E202" s="1"/>
      <c r="F202" s="1"/>
    </row>
    <row r="203" spans="3:6" ht="14.25" customHeight="1" x14ac:dyDescent="0.25">
      <c r="C203" s="1"/>
      <c r="E203" s="1"/>
      <c r="F203" s="1"/>
    </row>
    <row r="204" spans="3:6" ht="14.25" customHeight="1" x14ac:dyDescent="0.25">
      <c r="C204" s="1"/>
      <c r="E204" s="1"/>
      <c r="F204" s="1"/>
    </row>
    <row r="205" spans="3:6" ht="14.25" customHeight="1" x14ac:dyDescent="0.25">
      <c r="C205" s="1"/>
      <c r="E205" s="1"/>
      <c r="F205" s="1"/>
    </row>
    <row r="206" spans="3:6" ht="14.25" customHeight="1" x14ac:dyDescent="0.25">
      <c r="C206" s="1"/>
      <c r="E206" s="1"/>
      <c r="F206" s="1"/>
    </row>
    <row r="207" spans="3:6" ht="14.25" customHeight="1" x14ac:dyDescent="0.25">
      <c r="C207" s="1"/>
      <c r="E207" s="1"/>
      <c r="F207" s="1"/>
    </row>
    <row r="208" spans="3:6" ht="14.25" customHeight="1" x14ac:dyDescent="0.25">
      <c r="C208" s="1"/>
      <c r="E208" s="1"/>
      <c r="F208" s="1"/>
    </row>
    <row r="209" spans="3:6" ht="14.25" customHeight="1" x14ac:dyDescent="0.25">
      <c r="C209" s="1"/>
      <c r="E209" s="1"/>
      <c r="F209" s="1"/>
    </row>
    <row r="210" spans="3:6" ht="14.25" customHeight="1" x14ac:dyDescent="0.25">
      <c r="C210" s="1"/>
      <c r="E210" s="1"/>
      <c r="F210" s="1"/>
    </row>
    <row r="211" spans="3:6" ht="14.25" customHeight="1" x14ac:dyDescent="0.25">
      <c r="C211" s="1"/>
      <c r="E211" s="1"/>
      <c r="F211" s="1"/>
    </row>
    <row r="212" spans="3:6" ht="14.25" customHeight="1" x14ac:dyDescent="0.25">
      <c r="C212" s="1"/>
      <c r="E212" s="1"/>
      <c r="F212" s="1"/>
    </row>
    <row r="213" spans="3:6" ht="14.25" customHeight="1" x14ac:dyDescent="0.25">
      <c r="C213" s="1"/>
      <c r="E213" s="1"/>
      <c r="F213" s="1"/>
    </row>
    <row r="214" spans="3:6" ht="14.25" customHeight="1" x14ac:dyDescent="0.25">
      <c r="C214" s="1"/>
      <c r="E214" s="1"/>
      <c r="F214" s="1"/>
    </row>
    <row r="215" spans="3:6" ht="14.25" customHeight="1" x14ac:dyDescent="0.25">
      <c r="C215" s="1"/>
      <c r="E215" s="1"/>
      <c r="F215" s="1"/>
    </row>
    <row r="216" spans="3:6" ht="14.25" customHeight="1" x14ac:dyDescent="0.25">
      <c r="C216" s="1"/>
      <c r="E216" s="1"/>
      <c r="F216" s="1"/>
    </row>
    <row r="217" spans="3:6" ht="14.25" customHeight="1" x14ac:dyDescent="0.25">
      <c r="C217" s="1"/>
      <c r="E217" s="1"/>
      <c r="F217" s="1"/>
    </row>
    <row r="218" spans="3:6" ht="14.25" customHeight="1" x14ac:dyDescent="0.25">
      <c r="C218" s="1"/>
      <c r="E218" s="1"/>
      <c r="F218" s="1"/>
    </row>
    <row r="219" spans="3:6" ht="14.25" customHeight="1" x14ac:dyDescent="0.25">
      <c r="C219" s="1"/>
      <c r="E219" s="1"/>
      <c r="F219" s="1"/>
    </row>
    <row r="220" spans="3:6" ht="14.25" customHeight="1" x14ac:dyDescent="0.25">
      <c r="C220" s="1"/>
      <c r="E220" s="1"/>
      <c r="F220" s="1"/>
    </row>
    <row r="221" spans="3:6" ht="14.25" customHeight="1" x14ac:dyDescent="0.25">
      <c r="C221" s="1"/>
      <c r="E221" s="1"/>
      <c r="F221" s="1"/>
    </row>
    <row r="222" spans="3:6" ht="14.25" customHeight="1" x14ac:dyDescent="0.25">
      <c r="C222" s="1"/>
      <c r="E222" s="1"/>
      <c r="F222" s="1"/>
    </row>
    <row r="223" spans="3:6" ht="14.25" customHeight="1" x14ac:dyDescent="0.25">
      <c r="C223" s="1"/>
      <c r="E223" s="1"/>
      <c r="F223" s="1"/>
    </row>
    <row r="224" spans="3:6" ht="14.25" customHeight="1" x14ac:dyDescent="0.25">
      <c r="C224" s="1"/>
      <c r="E224" s="1"/>
      <c r="F224" s="1"/>
    </row>
    <row r="225" spans="3:6" ht="14.25" customHeight="1" x14ac:dyDescent="0.25">
      <c r="C225" s="1"/>
      <c r="E225" s="1"/>
      <c r="F225" s="1"/>
    </row>
    <row r="226" spans="3:6" ht="14.25" customHeight="1" x14ac:dyDescent="0.25">
      <c r="C226" s="1"/>
      <c r="E226" s="1"/>
      <c r="F226" s="1"/>
    </row>
    <row r="227" spans="3:6" ht="14.25" customHeight="1" x14ac:dyDescent="0.25">
      <c r="C227" s="1"/>
      <c r="E227" s="1"/>
      <c r="F227" s="1"/>
    </row>
    <row r="228" spans="3:6" ht="14.25" customHeight="1" x14ac:dyDescent="0.25">
      <c r="C228" s="1"/>
      <c r="E228" s="1"/>
      <c r="F228" s="1"/>
    </row>
    <row r="229" spans="3:6" ht="14.25" customHeight="1" x14ac:dyDescent="0.25">
      <c r="C229" s="1"/>
      <c r="E229" s="1"/>
      <c r="F229" s="1"/>
    </row>
    <row r="230" spans="3:6" ht="14.25" customHeight="1" x14ac:dyDescent="0.25">
      <c r="C230" s="1"/>
      <c r="E230" s="1"/>
      <c r="F230" s="1"/>
    </row>
    <row r="231" spans="3:6" ht="14.25" customHeight="1" x14ac:dyDescent="0.25">
      <c r="C231" s="1"/>
      <c r="E231" s="1"/>
      <c r="F231" s="1"/>
    </row>
    <row r="232" spans="3:6" ht="14.25" customHeight="1" x14ac:dyDescent="0.25">
      <c r="C232" s="1"/>
      <c r="E232" s="1"/>
      <c r="F232" s="1"/>
    </row>
    <row r="233" spans="3:6" ht="14.25" customHeight="1" x14ac:dyDescent="0.25">
      <c r="C233" s="1"/>
      <c r="E233" s="1"/>
      <c r="F233" s="1"/>
    </row>
    <row r="234" spans="3:6" ht="14.25" customHeight="1" x14ac:dyDescent="0.25">
      <c r="C234" s="1"/>
      <c r="E234" s="1"/>
      <c r="F234" s="1"/>
    </row>
    <row r="235" spans="3:6" ht="14.25" customHeight="1" x14ac:dyDescent="0.25">
      <c r="C235" s="1"/>
      <c r="E235" s="1"/>
      <c r="F235" s="1"/>
    </row>
    <row r="236" spans="3:6" ht="14.25" customHeight="1" x14ac:dyDescent="0.25">
      <c r="C236" s="1"/>
      <c r="E236" s="1"/>
      <c r="F236" s="1"/>
    </row>
    <row r="237" spans="3:6" ht="14.25" customHeight="1" x14ac:dyDescent="0.25">
      <c r="C237" s="1"/>
      <c r="E237" s="1"/>
      <c r="F237" s="1"/>
    </row>
    <row r="238" spans="3:6" ht="14.25" customHeight="1" x14ac:dyDescent="0.25">
      <c r="C238" s="1"/>
      <c r="E238" s="1"/>
      <c r="F238" s="1"/>
    </row>
    <row r="239" spans="3:6" ht="14.25" customHeight="1" x14ac:dyDescent="0.25">
      <c r="C239" s="1"/>
      <c r="E239" s="1"/>
      <c r="F239" s="1"/>
    </row>
    <row r="240" spans="3:6" ht="14.25" customHeight="1" x14ac:dyDescent="0.25">
      <c r="C240" s="1"/>
      <c r="E240" s="1"/>
      <c r="F240" s="1"/>
    </row>
    <row r="241" spans="3:6" ht="14.25" customHeight="1" x14ac:dyDescent="0.25">
      <c r="C241" s="1"/>
      <c r="E241" s="1"/>
      <c r="F241" s="1"/>
    </row>
    <row r="242" spans="3:6" ht="14.25" customHeight="1" x14ac:dyDescent="0.25">
      <c r="C242" s="1"/>
      <c r="E242" s="1"/>
      <c r="F242" s="1"/>
    </row>
    <row r="243" spans="3:6" ht="14.25" customHeight="1" x14ac:dyDescent="0.25">
      <c r="C243" s="1"/>
      <c r="E243" s="1"/>
      <c r="F243" s="1"/>
    </row>
    <row r="244" spans="3:6" ht="14.25" customHeight="1" x14ac:dyDescent="0.25">
      <c r="C244" s="1"/>
      <c r="E244" s="1"/>
      <c r="F244" s="1"/>
    </row>
    <row r="245" spans="3:6" ht="14.25" customHeight="1" x14ac:dyDescent="0.25">
      <c r="C245" s="1"/>
      <c r="E245" s="1"/>
      <c r="F245" s="1"/>
    </row>
    <row r="246" spans="3:6" ht="14.25" customHeight="1" x14ac:dyDescent="0.25">
      <c r="C246" s="1"/>
      <c r="E246" s="1"/>
      <c r="F246" s="1"/>
    </row>
    <row r="247" spans="3:6" ht="14.25" customHeight="1" x14ac:dyDescent="0.25">
      <c r="C247" s="1"/>
      <c r="E247" s="1"/>
      <c r="F247" s="1"/>
    </row>
    <row r="248" spans="3:6" ht="14.25" customHeight="1" x14ac:dyDescent="0.25">
      <c r="C248" s="1"/>
      <c r="E248" s="1"/>
      <c r="F248" s="1"/>
    </row>
    <row r="249" spans="3:6" ht="14.25" customHeight="1" x14ac:dyDescent="0.25">
      <c r="C249" s="1"/>
      <c r="E249" s="1"/>
      <c r="F249" s="1"/>
    </row>
    <row r="250" spans="3:6" ht="14.25" customHeight="1" x14ac:dyDescent="0.25">
      <c r="C250" s="1"/>
      <c r="E250" s="1"/>
      <c r="F250" s="1"/>
    </row>
    <row r="251" spans="3:6" ht="14.25" customHeight="1" x14ac:dyDescent="0.25">
      <c r="C251" s="1"/>
      <c r="E251" s="1"/>
      <c r="F251" s="1"/>
    </row>
    <row r="252" spans="3:6" ht="14.25" customHeight="1" x14ac:dyDescent="0.25">
      <c r="C252" s="1"/>
      <c r="E252" s="1"/>
      <c r="F252" s="1"/>
    </row>
    <row r="253" spans="3:6" ht="14.25" customHeight="1" x14ac:dyDescent="0.25">
      <c r="C253" s="1"/>
      <c r="E253" s="1"/>
      <c r="F253" s="1"/>
    </row>
    <row r="254" spans="3:6" ht="14.25" customHeight="1" x14ac:dyDescent="0.25">
      <c r="C254" s="1"/>
      <c r="E254" s="1"/>
      <c r="F254" s="1"/>
    </row>
    <row r="255" spans="3:6" ht="14.25" customHeight="1" x14ac:dyDescent="0.25">
      <c r="C255" s="1"/>
      <c r="E255" s="1"/>
      <c r="F255" s="1"/>
    </row>
    <row r="256" spans="3:6" ht="14.25" customHeight="1" x14ac:dyDescent="0.25">
      <c r="C256" s="1"/>
      <c r="E256" s="1"/>
      <c r="F256" s="1"/>
    </row>
    <row r="257" spans="3:6" ht="14.25" customHeight="1" x14ac:dyDescent="0.25">
      <c r="C257" s="1"/>
      <c r="E257" s="1"/>
      <c r="F257" s="1"/>
    </row>
    <row r="258" spans="3:6" ht="14.25" customHeight="1" x14ac:dyDescent="0.25">
      <c r="C258" s="1"/>
      <c r="E258" s="1"/>
      <c r="F258" s="1"/>
    </row>
    <row r="259" spans="3:6" ht="14.25" customHeight="1" x14ac:dyDescent="0.25">
      <c r="C259" s="1"/>
      <c r="E259" s="1"/>
      <c r="F259" s="1"/>
    </row>
    <row r="260" spans="3:6" ht="14.25" customHeight="1" x14ac:dyDescent="0.25">
      <c r="C260" s="1"/>
      <c r="E260" s="1"/>
      <c r="F260" s="1"/>
    </row>
    <row r="261" spans="3:6" ht="14.25" customHeight="1" x14ac:dyDescent="0.25">
      <c r="C261" s="1"/>
      <c r="E261" s="1"/>
      <c r="F261" s="1"/>
    </row>
    <row r="262" spans="3:6" ht="14.25" customHeight="1" x14ac:dyDescent="0.25">
      <c r="C262" s="1"/>
      <c r="E262" s="1"/>
      <c r="F262" s="1"/>
    </row>
    <row r="263" spans="3:6" ht="14.25" customHeight="1" x14ac:dyDescent="0.25">
      <c r="C263" s="1"/>
      <c r="E263" s="1"/>
      <c r="F263" s="1"/>
    </row>
    <row r="264" spans="3:6" ht="14.25" customHeight="1" x14ac:dyDescent="0.25">
      <c r="C264" s="1"/>
      <c r="E264" s="1"/>
      <c r="F264" s="1"/>
    </row>
    <row r="265" spans="3:6" ht="14.25" customHeight="1" x14ac:dyDescent="0.25">
      <c r="C265" s="1"/>
      <c r="E265" s="1"/>
      <c r="F265" s="1"/>
    </row>
    <row r="266" spans="3:6" ht="14.25" customHeight="1" x14ac:dyDescent="0.25">
      <c r="C266" s="1"/>
      <c r="E266" s="1"/>
      <c r="F266" s="1"/>
    </row>
    <row r="267" spans="3:6" ht="14.25" customHeight="1" x14ac:dyDescent="0.25">
      <c r="C267" s="1"/>
      <c r="E267" s="1"/>
      <c r="F267" s="1"/>
    </row>
    <row r="268" spans="3:6" ht="14.25" customHeight="1" x14ac:dyDescent="0.25">
      <c r="C268" s="1"/>
      <c r="E268" s="1"/>
      <c r="F268" s="1"/>
    </row>
    <row r="269" spans="3:6" ht="14.25" customHeight="1" x14ac:dyDescent="0.25">
      <c r="C269" s="1"/>
      <c r="E269" s="1"/>
      <c r="F269" s="1"/>
    </row>
    <row r="270" spans="3:6" ht="14.25" customHeight="1" x14ac:dyDescent="0.25">
      <c r="C270" s="1"/>
      <c r="E270" s="1"/>
      <c r="F270" s="1"/>
    </row>
    <row r="271" spans="3:6" ht="14.25" customHeight="1" x14ac:dyDescent="0.25">
      <c r="C271" s="1"/>
      <c r="E271" s="1"/>
      <c r="F271" s="1"/>
    </row>
    <row r="272" spans="3:6" ht="14.25" customHeight="1" x14ac:dyDescent="0.25">
      <c r="C272" s="1"/>
      <c r="E272" s="1"/>
      <c r="F272" s="1"/>
    </row>
    <row r="273" spans="3:6" ht="14.25" customHeight="1" x14ac:dyDescent="0.25">
      <c r="C273" s="1"/>
      <c r="E273" s="1"/>
      <c r="F273" s="1"/>
    </row>
    <row r="274" spans="3:6" ht="14.25" customHeight="1" x14ac:dyDescent="0.25">
      <c r="C274" s="1"/>
      <c r="E274" s="1"/>
      <c r="F274" s="1"/>
    </row>
    <row r="275" spans="3:6" ht="14.25" customHeight="1" x14ac:dyDescent="0.25">
      <c r="C275" s="1"/>
      <c r="E275" s="1"/>
      <c r="F275" s="1"/>
    </row>
    <row r="276" spans="3:6" ht="14.25" customHeight="1" x14ac:dyDescent="0.25">
      <c r="C276" s="1"/>
      <c r="E276" s="1"/>
      <c r="F276" s="1"/>
    </row>
    <row r="277" spans="3:6" ht="14.25" customHeight="1" x14ac:dyDescent="0.25">
      <c r="C277" s="1"/>
      <c r="E277" s="1"/>
      <c r="F277" s="1"/>
    </row>
    <row r="278" spans="3:6" ht="14.25" customHeight="1" x14ac:dyDescent="0.25">
      <c r="C278" s="1"/>
      <c r="E278" s="1"/>
      <c r="F278" s="1"/>
    </row>
    <row r="279" spans="3:6" ht="14.25" customHeight="1" x14ac:dyDescent="0.25">
      <c r="C279" s="1"/>
      <c r="E279" s="1"/>
      <c r="F279" s="1"/>
    </row>
    <row r="280" spans="3:6" ht="14.25" customHeight="1" x14ac:dyDescent="0.25">
      <c r="C280" s="1"/>
      <c r="E280" s="1"/>
      <c r="F280" s="1"/>
    </row>
    <row r="281" spans="3:6" ht="14.25" customHeight="1" x14ac:dyDescent="0.25">
      <c r="C281" s="1"/>
      <c r="E281" s="1"/>
      <c r="F281" s="1"/>
    </row>
    <row r="282" spans="3:6" ht="14.25" customHeight="1" x14ac:dyDescent="0.25">
      <c r="C282" s="1"/>
      <c r="E282" s="1"/>
      <c r="F282" s="1"/>
    </row>
    <row r="283" spans="3:6" ht="14.25" customHeight="1" x14ac:dyDescent="0.25">
      <c r="C283" s="1"/>
      <c r="E283" s="1"/>
      <c r="F283" s="1"/>
    </row>
    <row r="284" spans="3:6" ht="14.25" customHeight="1" x14ac:dyDescent="0.25">
      <c r="C284" s="1"/>
      <c r="E284" s="1"/>
      <c r="F284" s="1"/>
    </row>
    <row r="285" spans="3:6" ht="14.25" customHeight="1" x14ac:dyDescent="0.25">
      <c r="C285" s="1"/>
      <c r="E285" s="1"/>
      <c r="F285" s="1"/>
    </row>
    <row r="286" spans="3:6" ht="14.25" customHeight="1" x14ac:dyDescent="0.25">
      <c r="C286" s="1"/>
      <c r="E286" s="1"/>
      <c r="F286" s="1"/>
    </row>
    <row r="287" spans="3:6" ht="14.25" customHeight="1" x14ac:dyDescent="0.25">
      <c r="C287" s="1"/>
      <c r="E287" s="1"/>
      <c r="F287" s="1"/>
    </row>
    <row r="288" spans="3:6" ht="14.25" customHeight="1" x14ac:dyDescent="0.25">
      <c r="C288" s="1"/>
      <c r="E288" s="1"/>
      <c r="F288" s="1"/>
    </row>
    <row r="289" spans="3:6" ht="14.25" customHeight="1" x14ac:dyDescent="0.25">
      <c r="C289" s="1"/>
      <c r="E289" s="1"/>
      <c r="F289" s="1"/>
    </row>
    <row r="290" spans="3:6" ht="14.25" customHeight="1" x14ac:dyDescent="0.25">
      <c r="C290" s="1"/>
      <c r="E290" s="1"/>
      <c r="F290" s="1"/>
    </row>
    <row r="291" spans="3:6" ht="14.25" customHeight="1" x14ac:dyDescent="0.25">
      <c r="C291" s="1"/>
      <c r="E291" s="1"/>
      <c r="F291" s="1"/>
    </row>
    <row r="292" spans="3:6" ht="14.25" customHeight="1" x14ac:dyDescent="0.25">
      <c r="C292" s="1"/>
      <c r="E292" s="1"/>
      <c r="F292" s="1"/>
    </row>
    <row r="293" spans="3:6" ht="14.25" customHeight="1" x14ac:dyDescent="0.25">
      <c r="C293" s="1"/>
      <c r="E293" s="1"/>
      <c r="F293" s="1"/>
    </row>
    <row r="294" spans="3:6" ht="14.25" customHeight="1" x14ac:dyDescent="0.25">
      <c r="C294" s="1"/>
      <c r="E294" s="1"/>
      <c r="F294" s="1"/>
    </row>
    <row r="295" spans="3:6" ht="14.25" customHeight="1" x14ac:dyDescent="0.25">
      <c r="C295" s="1"/>
      <c r="E295" s="1"/>
      <c r="F295" s="1"/>
    </row>
    <row r="296" spans="3:6" ht="14.25" customHeight="1" x14ac:dyDescent="0.25">
      <c r="C296" s="1"/>
      <c r="E296" s="1"/>
      <c r="F296" s="1"/>
    </row>
    <row r="297" spans="3:6" ht="14.25" customHeight="1" x14ac:dyDescent="0.25">
      <c r="C297" s="1"/>
      <c r="E297" s="1"/>
      <c r="F297" s="1"/>
    </row>
    <row r="298" spans="3:6" ht="14.25" customHeight="1" x14ac:dyDescent="0.25">
      <c r="C298" s="1"/>
      <c r="E298" s="1"/>
      <c r="F298" s="1"/>
    </row>
    <row r="299" spans="3:6" ht="14.25" customHeight="1" x14ac:dyDescent="0.25">
      <c r="C299" s="1"/>
      <c r="E299" s="1"/>
      <c r="F299" s="1"/>
    </row>
    <row r="300" spans="3:6" ht="14.25" customHeight="1" x14ac:dyDescent="0.25">
      <c r="C300" s="1"/>
      <c r="E300" s="1"/>
      <c r="F300" s="1"/>
    </row>
    <row r="301" spans="3:6" ht="14.25" customHeight="1" x14ac:dyDescent="0.25">
      <c r="C301" s="1"/>
      <c r="E301" s="1"/>
      <c r="F301" s="1"/>
    </row>
    <row r="302" spans="3:6" ht="14.25" customHeight="1" x14ac:dyDescent="0.25">
      <c r="C302" s="1"/>
      <c r="E302" s="1"/>
      <c r="F302" s="1"/>
    </row>
    <row r="303" spans="3:6" ht="14.25" customHeight="1" x14ac:dyDescent="0.25">
      <c r="C303" s="1"/>
      <c r="E303" s="1"/>
      <c r="F303" s="1"/>
    </row>
    <row r="304" spans="3:6" ht="14.25" customHeight="1" x14ac:dyDescent="0.25">
      <c r="C304" s="1"/>
      <c r="E304" s="1"/>
      <c r="F304" s="1"/>
    </row>
    <row r="305" spans="3:6" ht="14.25" customHeight="1" x14ac:dyDescent="0.25">
      <c r="C305" s="1"/>
      <c r="E305" s="1"/>
      <c r="F305" s="1"/>
    </row>
    <row r="306" spans="3:6" ht="14.25" customHeight="1" x14ac:dyDescent="0.25">
      <c r="C306" s="1"/>
      <c r="E306" s="1"/>
      <c r="F306" s="1"/>
    </row>
    <row r="307" spans="3:6" ht="14.25" customHeight="1" x14ac:dyDescent="0.25">
      <c r="C307" s="1"/>
      <c r="E307" s="1"/>
      <c r="F307" s="1"/>
    </row>
    <row r="308" spans="3:6" ht="14.25" customHeight="1" x14ac:dyDescent="0.25">
      <c r="C308" s="1"/>
      <c r="E308" s="1"/>
      <c r="F308" s="1"/>
    </row>
    <row r="309" spans="3:6" ht="14.25" customHeight="1" x14ac:dyDescent="0.25">
      <c r="C309" s="1"/>
      <c r="E309" s="1"/>
      <c r="F309" s="1"/>
    </row>
    <row r="310" spans="3:6" ht="14.25" customHeight="1" x14ac:dyDescent="0.25">
      <c r="C310" s="1"/>
      <c r="E310" s="1"/>
      <c r="F310" s="1"/>
    </row>
    <row r="311" spans="3:6" ht="14.25" customHeight="1" x14ac:dyDescent="0.25">
      <c r="C311" s="1"/>
      <c r="E311" s="1"/>
      <c r="F311" s="1"/>
    </row>
    <row r="312" spans="3:6" ht="14.25" customHeight="1" x14ac:dyDescent="0.25">
      <c r="C312" s="1"/>
      <c r="E312" s="1"/>
      <c r="F312" s="1"/>
    </row>
    <row r="313" spans="3:6" ht="14.25" customHeight="1" x14ac:dyDescent="0.25">
      <c r="C313" s="1"/>
      <c r="E313" s="1"/>
      <c r="F313" s="1"/>
    </row>
    <row r="314" spans="3:6" ht="14.25" customHeight="1" x14ac:dyDescent="0.25">
      <c r="C314" s="1"/>
      <c r="E314" s="1"/>
      <c r="F314" s="1"/>
    </row>
    <row r="315" spans="3:6" ht="14.25" customHeight="1" x14ac:dyDescent="0.25">
      <c r="C315" s="1"/>
      <c r="E315" s="1"/>
      <c r="F315" s="1"/>
    </row>
    <row r="316" spans="3:6" ht="14.25" customHeight="1" x14ac:dyDescent="0.25">
      <c r="C316" s="1"/>
      <c r="E316" s="1"/>
      <c r="F316" s="1"/>
    </row>
    <row r="317" spans="3:6" ht="14.25" customHeight="1" x14ac:dyDescent="0.25">
      <c r="C317" s="1"/>
      <c r="E317" s="1"/>
      <c r="F317" s="1"/>
    </row>
    <row r="318" spans="3:6" ht="14.25" customHeight="1" x14ac:dyDescent="0.25">
      <c r="C318" s="1"/>
      <c r="E318" s="1"/>
      <c r="F318" s="1"/>
    </row>
    <row r="319" spans="3:6" ht="14.25" customHeight="1" x14ac:dyDescent="0.25">
      <c r="C319" s="1"/>
      <c r="E319" s="1"/>
      <c r="F319" s="1"/>
    </row>
    <row r="320" spans="3:6" ht="14.25" customHeight="1" x14ac:dyDescent="0.25">
      <c r="C320" s="1"/>
      <c r="E320" s="1"/>
      <c r="F320" s="1"/>
    </row>
    <row r="321" spans="3:6" ht="14.25" customHeight="1" x14ac:dyDescent="0.25">
      <c r="C321" s="1"/>
      <c r="E321" s="1"/>
      <c r="F321" s="1"/>
    </row>
    <row r="322" spans="3:6" ht="14.25" customHeight="1" x14ac:dyDescent="0.25">
      <c r="C322" s="1"/>
      <c r="E322" s="1"/>
      <c r="F322" s="1"/>
    </row>
    <row r="323" spans="3:6" ht="14.25" customHeight="1" x14ac:dyDescent="0.25">
      <c r="C323" s="1"/>
      <c r="E323" s="1"/>
      <c r="F323" s="1"/>
    </row>
    <row r="324" spans="3:6" ht="14.25" customHeight="1" x14ac:dyDescent="0.25">
      <c r="C324" s="1"/>
      <c r="E324" s="1"/>
      <c r="F324" s="1"/>
    </row>
    <row r="325" spans="3:6" ht="14.25" customHeight="1" x14ac:dyDescent="0.25">
      <c r="C325" s="1"/>
      <c r="E325" s="1"/>
      <c r="F325" s="1"/>
    </row>
    <row r="326" spans="3:6" ht="14.25" customHeight="1" x14ac:dyDescent="0.25">
      <c r="C326" s="1"/>
      <c r="E326" s="1"/>
      <c r="F326" s="1"/>
    </row>
    <row r="327" spans="3:6" ht="14.25" customHeight="1" x14ac:dyDescent="0.25">
      <c r="C327" s="1"/>
      <c r="E327" s="1"/>
      <c r="F327" s="1"/>
    </row>
    <row r="328" spans="3:6" ht="14.25" customHeight="1" x14ac:dyDescent="0.25">
      <c r="C328" s="1"/>
      <c r="E328" s="1"/>
      <c r="F328" s="1"/>
    </row>
    <row r="329" spans="3:6" ht="14.25" customHeight="1" x14ac:dyDescent="0.25">
      <c r="C329" s="1"/>
      <c r="E329" s="1"/>
      <c r="F329" s="1"/>
    </row>
    <row r="330" spans="3:6" ht="14.25" customHeight="1" x14ac:dyDescent="0.25">
      <c r="C330" s="1"/>
      <c r="E330" s="1"/>
      <c r="F330" s="1"/>
    </row>
    <row r="331" spans="3:6" ht="14.25" customHeight="1" x14ac:dyDescent="0.25">
      <c r="C331" s="1"/>
      <c r="E331" s="1"/>
      <c r="F331" s="1"/>
    </row>
    <row r="332" spans="3:6" ht="14.25" customHeight="1" x14ac:dyDescent="0.25">
      <c r="C332" s="1"/>
      <c r="E332" s="1"/>
      <c r="F332" s="1"/>
    </row>
    <row r="333" spans="3:6" ht="14.25" customHeight="1" x14ac:dyDescent="0.25">
      <c r="C333" s="1"/>
      <c r="E333" s="1"/>
      <c r="F333" s="1"/>
    </row>
    <row r="334" spans="3:6" ht="14.25" customHeight="1" x14ac:dyDescent="0.25">
      <c r="C334" s="1"/>
      <c r="E334" s="1"/>
      <c r="F334" s="1"/>
    </row>
    <row r="335" spans="3:6" ht="14.25" customHeight="1" x14ac:dyDescent="0.25">
      <c r="C335" s="1"/>
      <c r="E335" s="1"/>
      <c r="F335" s="1"/>
    </row>
    <row r="336" spans="3:6" ht="14.25" customHeight="1" x14ac:dyDescent="0.25">
      <c r="C336" s="1"/>
      <c r="E336" s="1"/>
      <c r="F336" s="1"/>
    </row>
    <row r="337" spans="3:6" ht="14.25" customHeight="1" x14ac:dyDescent="0.25">
      <c r="C337" s="1"/>
      <c r="E337" s="1"/>
      <c r="F337" s="1"/>
    </row>
    <row r="338" spans="3:6" ht="14.25" customHeight="1" x14ac:dyDescent="0.25">
      <c r="C338" s="1"/>
      <c r="E338" s="1"/>
      <c r="F338" s="1"/>
    </row>
    <row r="339" spans="3:6" ht="14.25" customHeight="1" x14ac:dyDescent="0.25">
      <c r="C339" s="1"/>
      <c r="E339" s="1"/>
      <c r="F339" s="1"/>
    </row>
    <row r="340" spans="3:6" ht="14.25" customHeight="1" x14ac:dyDescent="0.25">
      <c r="C340" s="1"/>
      <c r="E340" s="1"/>
      <c r="F340" s="1"/>
    </row>
    <row r="341" spans="3:6" ht="14.25" customHeight="1" x14ac:dyDescent="0.25">
      <c r="C341" s="1"/>
      <c r="E341" s="1"/>
      <c r="F341" s="1"/>
    </row>
    <row r="342" spans="3:6" ht="14.25" customHeight="1" x14ac:dyDescent="0.25">
      <c r="C342" s="1"/>
      <c r="E342" s="1"/>
      <c r="F342" s="1"/>
    </row>
    <row r="343" spans="3:6" ht="14.25" customHeight="1" x14ac:dyDescent="0.25">
      <c r="C343" s="1"/>
      <c r="E343" s="1"/>
      <c r="F343" s="1"/>
    </row>
    <row r="344" spans="3:6" ht="14.25" customHeight="1" x14ac:dyDescent="0.25">
      <c r="C344" s="1"/>
      <c r="E344" s="1"/>
      <c r="F344" s="1"/>
    </row>
    <row r="345" spans="3:6" ht="14.25" customHeight="1" x14ac:dyDescent="0.25">
      <c r="C345" s="1"/>
      <c r="E345" s="1"/>
      <c r="F345" s="1"/>
    </row>
    <row r="346" spans="3:6" ht="14.25" customHeight="1" x14ac:dyDescent="0.25">
      <c r="C346" s="1"/>
      <c r="E346" s="1"/>
      <c r="F346" s="1"/>
    </row>
    <row r="347" spans="3:6" ht="14.25" customHeight="1" x14ac:dyDescent="0.25">
      <c r="C347" s="1"/>
      <c r="E347" s="1"/>
      <c r="F347" s="1"/>
    </row>
    <row r="348" spans="3:6" ht="14.25" customHeight="1" x14ac:dyDescent="0.25">
      <c r="C348" s="1"/>
      <c r="E348" s="1"/>
      <c r="F348" s="1"/>
    </row>
    <row r="349" spans="3:6" ht="14.25" customHeight="1" x14ac:dyDescent="0.25">
      <c r="C349" s="1"/>
      <c r="E349" s="1"/>
      <c r="F349" s="1"/>
    </row>
    <row r="350" spans="3:6" ht="14.25" customHeight="1" x14ac:dyDescent="0.25">
      <c r="C350" s="1"/>
      <c r="E350" s="1"/>
      <c r="F350" s="1"/>
    </row>
    <row r="351" spans="3:6" ht="14.25" customHeight="1" x14ac:dyDescent="0.25">
      <c r="C351" s="1"/>
      <c r="E351" s="1"/>
      <c r="F351" s="1"/>
    </row>
    <row r="352" spans="3:6" ht="14.25" customHeight="1" x14ac:dyDescent="0.25">
      <c r="C352" s="1"/>
      <c r="E352" s="1"/>
      <c r="F352" s="1"/>
    </row>
    <row r="353" spans="3:6" ht="14.25" customHeight="1" x14ac:dyDescent="0.25">
      <c r="C353" s="1"/>
      <c r="E353" s="1"/>
      <c r="F353" s="1"/>
    </row>
    <row r="354" spans="3:6" ht="14.25" customHeight="1" x14ac:dyDescent="0.25">
      <c r="C354" s="1"/>
      <c r="E354" s="1"/>
      <c r="F354" s="1"/>
    </row>
    <row r="355" spans="3:6" ht="14.25" customHeight="1" x14ac:dyDescent="0.25">
      <c r="C355" s="1"/>
      <c r="E355" s="1"/>
      <c r="F355" s="1"/>
    </row>
    <row r="356" spans="3:6" ht="14.25" customHeight="1" x14ac:dyDescent="0.25">
      <c r="C356" s="1"/>
      <c r="E356" s="1"/>
      <c r="F356" s="1"/>
    </row>
    <row r="357" spans="3:6" ht="14.25" customHeight="1" x14ac:dyDescent="0.25">
      <c r="C357" s="1"/>
      <c r="E357" s="1"/>
      <c r="F357" s="1"/>
    </row>
    <row r="358" spans="3:6" ht="14.25" customHeight="1" x14ac:dyDescent="0.25">
      <c r="C358" s="1"/>
      <c r="E358" s="1"/>
      <c r="F358" s="1"/>
    </row>
    <row r="359" spans="3:6" ht="14.25" customHeight="1" x14ac:dyDescent="0.25">
      <c r="C359" s="1"/>
      <c r="E359" s="1"/>
      <c r="F359" s="1"/>
    </row>
    <row r="360" spans="3:6" ht="14.25" customHeight="1" x14ac:dyDescent="0.25">
      <c r="C360" s="1"/>
      <c r="E360" s="1"/>
      <c r="F360" s="1"/>
    </row>
    <row r="361" spans="3:6" ht="14.25" customHeight="1" x14ac:dyDescent="0.25">
      <c r="C361" s="1"/>
      <c r="E361" s="1"/>
      <c r="F361" s="1"/>
    </row>
    <row r="362" spans="3:6" ht="14.25" customHeight="1" x14ac:dyDescent="0.25">
      <c r="C362" s="1"/>
      <c r="E362" s="1"/>
      <c r="F362" s="1"/>
    </row>
    <row r="363" spans="3:6" ht="14.25" customHeight="1" x14ac:dyDescent="0.25">
      <c r="C363" s="1"/>
      <c r="E363" s="1"/>
      <c r="F363" s="1"/>
    </row>
    <row r="364" spans="3:6" ht="14.25" customHeight="1" x14ac:dyDescent="0.25">
      <c r="C364" s="1"/>
      <c r="E364" s="1"/>
      <c r="F364" s="1"/>
    </row>
    <row r="365" spans="3:6" ht="14.25" customHeight="1" x14ac:dyDescent="0.25">
      <c r="C365" s="1"/>
      <c r="E365" s="1"/>
      <c r="F365" s="1"/>
    </row>
    <row r="366" spans="3:6" ht="14.25" customHeight="1" x14ac:dyDescent="0.25">
      <c r="C366" s="1"/>
      <c r="E366" s="1"/>
      <c r="F366" s="1"/>
    </row>
    <row r="367" spans="3:6" ht="14.25" customHeight="1" x14ac:dyDescent="0.25">
      <c r="C367" s="1"/>
      <c r="E367" s="1"/>
      <c r="F367" s="1"/>
    </row>
    <row r="368" spans="3:6" ht="14.25" customHeight="1" x14ac:dyDescent="0.25">
      <c r="C368" s="1"/>
      <c r="E368" s="1"/>
      <c r="F368" s="1"/>
    </row>
    <row r="369" spans="3:6" ht="14.25" customHeight="1" x14ac:dyDescent="0.25">
      <c r="C369" s="1"/>
      <c r="E369" s="1"/>
      <c r="F369" s="1"/>
    </row>
    <row r="370" spans="3:6" ht="14.25" customHeight="1" x14ac:dyDescent="0.25">
      <c r="C370" s="1"/>
      <c r="E370" s="1"/>
      <c r="F370" s="1"/>
    </row>
    <row r="371" spans="3:6" ht="14.25" customHeight="1" x14ac:dyDescent="0.25">
      <c r="C371" s="1"/>
      <c r="E371" s="1"/>
      <c r="F371" s="1"/>
    </row>
    <row r="372" spans="3:6" ht="14.25" customHeight="1" x14ac:dyDescent="0.25">
      <c r="C372" s="1"/>
      <c r="E372" s="1"/>
      <c r="F372" s="1"/>
    </row>
    <row r="373" spans="3:6" ht="14.25" customHeight="1" x14ac:dyDescent="0.25">
      <c r="C373" s="1"/>
      <c r="E373" s="1"/>
      <c r="F373" s="1"/>
    </row>
    <row r="374" spans="3:6" ht="14.25" customHeight="1" x14ac:dyDescent="0.25">
      <c r="C374" s="1"/>
      <c r="E374" s="1"/>
      <c r="F374" s="1"/>
    </row>
    <row r="375" spans="3:6" ht="14.25" customHeight="1" x14ac:dyDescent="0.25">
      <c r="C375" s="1"/>
      <c r="E375" s="1"/>
      <c r="F375" s="1"/>
    </row>
    <row r="376" spans="3:6" ht="14.25" customHeight="1" x14ac:dyDescent="0.25">
      <c r="C376" s="1"/>
      <c r="E376" s="1"/>
      <c r="F376" s="1"/>
    </row>
    <row r="377" spans="3:6" ht="14.25" customHeight="1" x14ac:dyDescent="0.25">
      <c r="C377" s="1"/>
      <c r="E377" s="1"/>
      <c r="F377" s="1"/>
    </row>
    <row r="378" spans="3:6" ht="14.25" customHeight="1" x14ac:dyDescent="0.25">
      <c r="C378" s="1"/>
      <c r="E378" s="1"/>
      <c r="F378" s="1"/>
    </row>
    <row r="379" spans="3:6" ht="14.25" customHeight="1" x14ac:dyDescent="0.25">
      <c r="C379" s="1"/>
      <c r="E379" s="1"/>
      <c r="F379" s="1"/>
    </row>
    <row r="380" spans="3:6" ht="14.25" customHeight="1" x14ac:dyDescent="0.25">
      <c r="C380" s="1"/>
      <c r="E380" s="1"/>
      <c r="F380" s="1"/>
    </row>
    <row r="381" spans="3:6" ht="14.25" customHeight="1" x14ac:dyDescent="0.25">
      <c r="C381" s="1"/>
      <c r="E381" s="1"/>
      <c r="F381" s="1"/>
    </row>
    <row r="382" spans="3:6" ht="14.25" customHeight="1" x14ac:dyDescent="0.25">
      <c r="C382" s="1"/>
      <c r="E382" s="1"/>
      <c r="F382" s="1"/>
    </row>
    <row r="383" spans="3:6" ht="14.25" customHeight="1" x14ac:dyDescent="0.25">
      <c r="C383" s="1"/>
      <c r="E383" s="1"/>
      <c r="F383" s="1"/>
    </row>
    <row r="384" spans="3:6" ht="14.25" customHeight="1" x14ac:dyDescent="0.25">
      <c r="C384" s="1"/>
      <c r="E384" s="1"/>
      <c r="F384" s="1"/>
    </row>
    <row r="385" spans="3:6" ht="14.25" customHeight="1" x14ac:dyDescent="0.25">
      <c r="C385" s="1"/>
      <c r="E385" s="1"/>
      <c r="F385" s="1"/>
    </row>
    <row r="386" spans="3:6" ht="14.25" customHeight="1" x14ac:dyDescent="0.25">
      <c r="C386" s="1"/>
      <c r="E386" s="1"/>
      <c r="F386" s="1"/>
    </row>
    <row r="387" spans="3:6" ht="14.25" customHeight="1" x14ac:dyDescent="0.25">
      <c r="C387" s="1"/>
      <c r="E387" s="1"/>
      <c r="F387" s="1"/>
    </row>
    <row r="388" spans="3:6" ht="14.25" customHeight="1" x14ac:dyDescent="0.25">
      <c r="C388" s="1"/>
      <c r="E388" s="1"/>
      <c r="F388" s="1"/>
    </row>
    <row r="389" spans="3:6" ht="14.25" customHeight="1" x14ac:dyDescent="0.25">
      <c r="C389" s="1"/>
      <c r="E389" s="1"/>
      <c r="F389" s="1"/>
    </row>
    <row r="390" spans="3:6" ht="14.25" customHeight="1" x14ac:dyDescent="0.25">
      <c r="C390" s="1"/>
      <c r="E390" s="1"/>
      <c r="F390" s="1"/>
    </row>
    <row r="391" spans="3:6" ht="14.25" customHeight="1" x14ac:dyDescent="0.25">
      <c r="C391" s="1"/>
      <c r="E391" s="1"/>
      <c r="F391" s="1"/>
    </row>
    <row r="392" spans="3:6" ht="14.25" customHeight="1" x14ac:dyDescent="0.25">
      <c r="C392" s="1"/>
      <c r="E392" s="1"/>
      <c r="F392" s="1"/>
    </row>
    <row r="393" spans="3:6" ht="14.25" customHeight="1" x14ac:dyDescent="0.25">
      <c r="C393" s="1"/>
      <c r="E393" s="1"/>
      <c r="F393" s="1"/>
    </row>
    <row r="394" spans="3:6" ht="14.25" customHeight="1" x14ac:dyDescent="0.25">
      <c r="C394" s="1"/>
      <c r="E394" s="1"/>
      <c r="F394" s="1"/>
    </row>
    <row r="395" spans="3:6" ht="14.25" customHeight="1" x14ac:dyDescent="0.25">
      <c r="C395" s="1"/>
      <c r="E395" s="1"/>
      <c r="F395" s="1"/>
    </row>
    <row r="396" spans="3:6" ht="14.25" customHeight="1" x14ac:dyDescent="0.25">
      <c r="C396" s="1"/>
      <c r="E396" s="1"/>
      <c r="F396" s="1"/>
    </row>
    <row r="397" spans="3:6" ht="14.25" customHeight="1" x14ac:dyDescent="0.25">
      <c r="C397" s="1"/>
      <c r="E397" s="1"/>
      <c r="F397" s="1"/>
    </row>
    <row r="398" spans="3:6" ht="14.25" customHeight="1" x14ac:dyDescent="0.25">
      <c r="C398" s="1"/>
      <c r="E398" s="1"/>
      <c r="F398" s="1"/>
    </row>
    <row r="399" spans="3:6" ht="14.25" customHeight="1" x14ac:dyDescent="0.25">
      <c r="C399" s="1"/>
      <c r="E399" s="1"/>
      <c r="F399" s="1"/>
    </row>
    <row r="400" spans="3:6" ht="14.25" customHeight="1" x14ac:dyDescent="0.25">
      <c r="C400" s="1"/>
      <c r="E400" s="1"/>
      <c r="F400" s="1"/>
    </row>
    <row r="401" spans="3:6" ht="14.25" customHeight="1" x14ac:dyDescent="0.25">
      <c r="C401" s="1"/>
      <c r="E401" s="1"/>
      <c r="F401" s="1"/>
    </row>
    <row r="402" spans="3:6" ht="14.25" customHeight="1" x14ac:dyDescent="0.25">
      <c r="C402" s="1"/>
      <c r="E402" s="1"/>
      <c r="F402" s="1"/>
    </row>
    <row r="403" spans="3:6" ht="14.25" customHeight="1" x14ac:dyDescent="0.25">
      <c r="C403" s="1"/>
      <c r="E403" s="1"/>
      <c r="F403" s="1"/>
    </row>
    <row r="404" spans="3:6" ht="14.25" customHeight="1" x14ac:dyDescent="0.25">
      <c r="C404" s="1"/>
      <c r="E404" s="1"/>
      <c r="F404" s="1"/>
    </row>
    <row r="405" spans="3:6" ht="14.25" customHeight="1" x14ac:dyDescent="0.25">
      <c r="C405" s="1"/>
      <c r="E405" s="1"/>
      <c r="F405" s="1"/>
    </row>
    <row r="406" spans="3:6" ht="14.25" customHeight="1" x14ac:dyDescent="0.25">
      <c r="C406" s="1"/>
      <c r="E406" s="1"/>
      <c r="F406" s="1"/>
    </row>
    <row r="407" spans="3:6" ht="14.25" customHeight="1" x14ac:dyDescent="0.25">
      <c r="C407" s="1"/>
      <c r="E407" s="1"/>
      <c r="F407" s="1"/>
    </row>
    <row r="408" spans="3:6" ht="14.25" customHeight="1" x14ac:dyDescent="0.25">
      <c r="C408" s="1"/>
      <c r="E408" s="1"/>
      <c r="F408" s="1"/>
    </row>
    <row r="409" spans="3:6" ht="14.25" customHeight="1" x14ac:dyDescent="0.25">
      <c r="C409" s="1"/>
      <c r="E409" s="1"/>
      <c r="F409" s="1"/>
    </row>
    <row r="410" spans="3:6" ht="14.25" customHeight="1" x14ac:dyDescent="0.25">
      <c r="C410" s="1"/>
      <c r="E410" s="1"/>
      <c r="F410" s="1"/>
    </row>
    <row r="411" spans="3:6" ht="14.25" customHeight="1" x14ac:dyDescent="0.25">
      <c r="C411" s="1"/>
      <c r="E411" s="1"/>
      <c r="F411" s="1"/>
    </row>
    <row r="412" spans="3:6" ht="14.25" customHeight="1" x14ac:dyDescent="0.25">
      <c r="C412" s="1"/>
      <c r="E412" s="1"/>
      <c r="F412" s="1"/>
    </row>
    <row r="413" spans="3:6" ht="14.25" customHeight="1" x14ac:dyDescent="0.25">
      <c r="C413" s="1"/>
      <c r="E413" s="1"/>
      <c r="F413" s="1"/>
    </row>
    <row r="414" spans="3:6" ht="14.25" customHeight="1" x14ac:dyDescent="0.25">
      <c r="C414" s="1"/>
      <c r="E414" s="1"/>
      <c r="F414" s="1"/>
    </row>
    <row r="415" spans="3:6" ht="14.25" customHeight="1" x14ac:dyDescent="0.25">
      <c r="C415" s="1"/>
      <c r="E415" s="1"/>
      <c r="F415" s="1"/>
    </row>
    <row r="416" spans="3:6" ht="14.25" customHeight="1" x14ac:dyDescent="0.25">
      <c r="C416" s="1"/>
      <c r="E416" s="1"/>
      <c r="F416" s="1"/>
    </row>
    <row r="417" spans="3:6" ht="14.25" customHeight="1" x14ac:dyDescent="0.25">
      <c r="C417" s="1"/>
      <c r="E417" s="1"/>
      <c r="F417" s="1"/>
    </row>
    <row r="418" spans="3:6" ht="14.25" customHeight="1" x14ac:dyDescent="0.25">
      <c r="C418" s="1"/>
      <c r="E418" s="1"/>
      <c r="F418" s="1"/>
    </row>
    <row r="419" spans="3:6" ht="14.25" customHeight="1" x14ac:dyDescent="0.25">
      <c r="C419" s="1"/>
      <c r="E419" s="1"/>
      <c r="F419" s="1"/>
    </row>
    <row r="420" spans="3:6" ht="14.25" customHeight="1" x14ac:dyDescent="0.25">
      <c r="C420" s="1"/>
      <c r="E420" s="1"/>
      <c r="F420" s="1"/>
    </row>
    <row r="421" spans="3:6" ht="14.25" customHeight="1" x14ac:dyDescent="0.25">
      <c r="C421" s="1"/>
      <c r="E421" s="1"/>
      <c r="F421" s="1"/>
    </row>
    <row r="422" spans="3:6" ht="14.25" customHeight="1" x14ac:dyDescent="0.25">
      <c r="C422" s="1"/>
      <c r="E422" s="1"/>
      <c r="F422" s="1"/>
    </row>
    <row r="423" spans="3:6" ht="14.25" customHeight="1" x14ac:dyDescent="0.25">
      <c r="C423" s="1"/>
      <c r="E423" s="1"/>
      <c r="F423" s="1"/>
    </row>
    <row r="424" spans="3:6" ht="14.25" customHeight="1" x14ac:dyDescent="0.25">
      <c r="C424" s="1"/>
      <c r="E424" s="1"/>
      <c r="F424" s="1"/>
    </row>
    <row r="425" spans="3:6" ht="14.25" customHeight="1" x14ac:dyDescent="0.25">
      <c r="C425" s="1"/>
      <c r="E425" s="1"/>
      <c r="F425" s="1"/>
    </row>
    <row r="426" spans="3:6" ht="14.25" customHeight="1" x14ac:dyDescent="0.25">
      <c r="C426" s="1"/>
      <c r="E426" s="1"/>
      <c r="F426" s="1"/>
    </row>
    <row r="427" spans="3:6" ht="14.25" customHeight="1" x14ac:dyDescent="0.25">
      <c r="C427" s="1"/>
      <c r="E427" s="1"/>
      <c r="F427" s="1"/>
    </row>
    <row r="428" spans="3:6" ht="14.25" customHeight="1" x14ac:dyDescent="0.25">
      <c r="C428" s="1"/>
      <c r="E428" s="1"/>
      <c r="F428" s="1"/>
    </row>
    <row r="429" spans="3:6" ht="14.25" customHeight="1" x14ac:dyDescent="0.25">
      <c r="C429" s="1"/>
      <c r="E429" s="1"/>
      <c r="F429" s="1"/>
    </row>
    <row r="430" spans="3:6" ht="14.25" customHeight="1" x14ac:dyDescent="0.25">
      <c r="C430" s="1"/>
      <c r="E430" s="1"/>
      <c r="F430" s="1"/>
    </row>
    <row r="431" spans="3:6" ht="14.25" customHeight="1" x14ac:dyDescent="0.25">
      <c r="C431" s="1"/>
      <c r="E431" s="1"/>
      <c r="F431" s="1"/>
    </row>
    <row r="432" spans="3:6" ht="14.25" customHeight="1" x14ac:dyDescent="0.25">
      <c r="C432" s="1"/>
      <c r="E432" s="1"/>
      <c r="F432" s="1"/>
    </row>
    <row r="433" spans="3:6" ht="14.25" customHeight="1" x14ac:dyDescent="0.25">
      <c r="C433" s="1"/>
      <c r="E433" s="1"/>
      <c r="F433" s="1"/>
    </row>
    <row r="434" spans="3:6" ht="14.25" customHeight="1" x14ac:dyDescent="0.25">
      <c r="C434" s="1"/>
      <c r="E434" s="1"/>
      <c r="F434" s="1"/>
    </row>
    <row r="435" spans="3:6" ht="14.25" customHeight="1" x14ac:dyDescent="0.25">
      <c r="C435" s="1"/>
      <c r="E435" s="1"/>
      <c r="F435" s="1"/>
    </row>
    <row r="436" spans="3:6" ht="14.25" customHeight="1" x14ac:dyDescent="0.25">
      <c r="C436" s="1"/>
      <c r="E436" s="1"/>
      <c r="F436" s="1"/>
    </row>
    <row r="437" spans="3:6" ht="14.25" customHeight="1" x14ac:dyDescent="0.25">
      <c r="C437" s="1"/>
      <c r="E437" s="1"/>
      <c r="F437" s="1"/>
    </row>
    <row r="438" spans="3:6" ht="14.25" customHeight="1" x14ac:dyDescent="0.25">
      <c r="C438" s="1"/>
      <c r="E438" s="1"/>
      <c r="F438" s="1"/>
    </row>
    <row r="439" spans="3:6" ht="14.25" customHeight="1" x14ac:dyDescent="0.25">
      <c r="C439" s="1"/>
      <c r="E439" s="1"/>
      <c r="F439" s="1"/>
    </row>
    <row r="440" spans="3:6" ht="14.25" customHeight="1" x14ac:dyDescent="0.25">
      <c r="C440" s="1"/>
      <c r="E440" s="1"/>
      <c r="F440" s="1"/>
    </row>
    <row r="441" spans="3:6" ht="14.25" customHeight="1" x14ac:dyDescent="0.25">
      <c r="C441" s="1"/>
      <c r="E441" s="1"/>
      <c r="F441" s="1"/>
    </row>
    <row r="442" spans="3:6" ht="14.25" customHeight="1" x14ac:dyDescent="0.25">
      <c r="C442" s="1"/>
      <c r="E442" s="1"/>
      <c r="F442" s="1"/>
    </row>
    <row r="443" spans="3:6" ht="14.25" customHeight="1" x14ac:dyDescent="0.25">
      <c r="C443" s="1"/>
      <c r="E443" s="1"/>
      <c r="F443" s="1"/>
    </row>
    <row r="444" spans="3:6" ht="14.25" customHeight="1" x14ac:dyDescent="0.25">
      <c r="C444" s="1"/>
      <c r="E444" s="1"/>
      <c r="F444" s="1"/>
    </row>
    <row r="445" spans="3:6" ht="14.25" customHeight="1" x14ac:dyDescent="0.25">
      <c r="C445" s="1"/>
      <c r="E445" s="1"/>
      <c r="F445" s="1"/>
    </row>
    <row r="446" spans="3:6" ht="14.25" customHeight="1" x14ac:dyDescent="0.25">
      <c r="C446" s="1"/>
      <c r="E446" s="1"/>
      <c r="F446" s="1"/>
    </row>
    <row r="447" spans="3:6" ht="14.25" customHeight="1" x14ac:dyDescent="0.25">
      <c r="C447" s="1"/>
      <c r="E447" s="1"/>
      <c r="F447" s="1"/>
    </row>
    <row r="448" spans="3:6" ht="14.25" customHeight="1" x14ac:dyDescent="0.25">
      <c r="C448" s="1"/>
      <c r="E448" s="1"/>
      <c r="F448" s="1"/>
    </row>
    <row r="449" spans="3:6" ht="14.25" customHeight="1" x14ac:dyDescent="0.25">
      <c r="C449" s="1"/>
      <c r="E449" s="1"/>
      <c r="F449" s="1"/>
    </row>
    <row r="450" spans="3:6" ht="14.25" customHeight="1" x14ac:dyDescent="0.25">
      <c r="C450" s="1"/>
      <c r="E450" s="1"/>
      <c r="F450" s="1"/>
    </row>
    <row r="451" spans="3:6" ht="14.25" customHeight="1" x14ac:dyDescent="0.25">
      <c r="C451" s="1"/>
      <c r="E451" s="1"/>
      <c r="F451" s="1"/>
    </row>
    <row r="452" spans="3:6" ht="14.25" customHeight="1" x14ac:dyDescent="0.25">
      <c r="C452" s="1"/>
      <c r="E452" s="1"/>
      <c r="F452" s="1"/>
    </row>
    <row r="453" spans="3:6" ht="14.25" customHeight="1" x14ac:dyDescent="0.25">
      <c r="C453" s="1"/>
      <c r="E453" s="1"/>
      <c r="F453" s="1"/>
    </row>
    <row r="454" spans="3:6" ht="14.25" customHeight="1" x14ac:dyDescent="0.25">
      <c r="C454" s="1"/>
      <c r="E454" s="1"/>
      <c r="F454" s="1"/>
    </row>
    <row r="455" spans="3:6" ht="14.25" customHeight="1" x14ac:dyDescent="0.25">
      <c r="C455" s="1"/>
      <c r="E455" s="1"/>
      <c r="F455" s="1"/>
    </row>
    <row r="456" spans="3:6" ht="14.25" customHeight="1" x14ac:dyDescent="0.25">
      <c r="C456" s="1"/>
      <c r="E456" s="1"/>
      <c r="F456" s="1"/>
    </row>
    <row r="457" spans="3:6" ht="14.25" customHeight="1" x14ac:dyDescent="0.25">
      <c r="C457" s="1"/>
      <c r="E457" s="1"/>
      <c r="F457" s="1"/>
    </row>
    <row r="458" spans="3:6" ht="14.25" customHeight="1" x14ac:dyDescent="0.25">
      <c r="C458" s="1"/>
      <c r="E458" s="1"/>
      <c r="F458" s="1"/>
    </row>
    <row r="459" spans="3:6" ht="14.25" customHeight="1" x14ac:dyDescent="0.25">
      <c r="C459" s="1"/>
      <c r="E459" s="1"/>
      <c r="F459" s="1"/>
    </row>
    <row r="460" spans="3:6" ht="14.25" customHeight="1" x14ac:dyDescent="0.25">
      <c r="C460" s="1"/>
      <c r="E460" s="1"/>
      <c r="F460" s="1"/>
    </row>
    <row r="461" spans="3:6" ht="14.25" customHeight="1" x14ac:dyDescent="0.25">
      <c r="C461" s="1"/>
      <c r="E461" s="1"/>
      <c r="F461" s="1"/>
    </row>
    <row r="462" spans="3:6" ht="14.25" customHeight="1" x14ac:dyDescent="0.25">
      <c r="C462" s="1"/>
      <c r="E462" s="1"/>
      <c r="F462" s="1"/>
    </row>
    <row r="463" spans="3:6" ht="14.25" customHeight="1" x14ac:dyDescent="0.25">
      <c r="C463" s="1"/>
      <c r="E463" s="1"/>
      <c r="F463" s="1"/>
    </row>
    <row r="464" spans="3:6" ht="14.25" customHeight="1" x14ac:dyDescent="0.25">
      <c r="C464" s="1"/>
      <c r="E464" s="1"/>
      <c r="F464" s="1"/>
    </row>
    <row r="465" spans="3:6" ht="14.25" customHeight="1" x14ac:dyDescent="0.25">
      <c r="C465" s="1"/>
      <c r="E465" s="1"/>
      <c r="F465" s="1"/>
    </row>
    <row r="466" spans="3:6" ht="14.25" customHeight="1" x14ac:dyDescent="0.25">
      <c r="C466" s="1"/>
      <c r="E466" s="1"/>
      <c r="F466" s="1"/>
    </row>
    <row r="467" spans="3:6" ht="14.25" customHeight="1" x14ac:dyDescent="0.25">
      <c r="C467" s="1"/>
      <c r="E467" s="1"/>
      <c r="F467" s="1"/>
    </row>
    <row r="468" spans="3:6" ht="14.25" customHeight="1" x14ac:dyDescent="0.25">
      <c r="C468" s="1"/>
      <c r="E468" s="1"/>
      <c r="F468" s="1"/>
    </row>
    <row r="469" spans="3:6" ht="14.25" customHeight="1" x14ac:dyDescent="0.25">
      <c r="C469" s="1"/>
      <c r="E469" s="1"/>
      <c r="F469" s="1"/>
    </row>
    <row r="470" spans="3:6" ht="14.25" customHeight="1" x14ac:dyDescent="0.25">
      <c r="C470" s="1"/>
      <c r="E470" s="1"/>
      <c r="F470" s="1"/>
    </row>
    <row r="471" spans="3:6" ht="14.25" customHeight="1" x14ac:dyDescent="0.25">
      <c r="C471" s="1"/>
      <c r="E471" s="1"/>
      <c r="F471" s="1"/>
    </row>
    <row r="472" spans="3:6" ht="14.25" customHeight="1" x14ac:dyDescent="0.25">
      <c r="C472" s="1"/>
      <c r="E472" s="1"/>
      <c r="F472" s="1"/>
    </row>
    <row r="473" spans="3:6" ht="14.25" customHeight="1" x14ac:dyDescent="0.25">
      <c r="C473" s="1"/>
      <c r="E473" s="1"/>
      <c r="F473" s="1"/>
    </row>
    <row r="474" spans="3:6" ht="14.25" customHeight="1" x14ac:dyDescent="0.25">
      <c r="C474" s="1"/>
      <c r="E474" s="1"/>
      <c r="F474" s="1"/>
    </row>
    <row r="475" spans="3:6" ht="14.25" customHeight="1" x14ac:dyDescent="0.25">
      <c r="C475" s="1"/>
      <c r="E475" s="1"/>
      <c r="F475" s="1"/>
    </row>
    <row r="476" spans="3:6" ht="14.25" customHeight="1" x14ac:dyDescent="0.25">
      <c r="C476" s="1"/>
      <c r="E476" s="1"/>
      <c r="F476" s="1"/>
    </row>
    <row r="477" spans="3:6" ht="14.25" customHeight="1" x14ac:dyDescent="0.25">
      <c r="C477" s="1"/>
      <c r="E477" s="1"/>
      <c r="F477" s="1"/>
    </row>
    <row r="478" spans="3:6" ht="14.25" customHeight="1" x14ac:dyDescent="0.25">
      <c r="C478" s="1"/>
      <c r="E478" s="1"/>
      <c r="F478" s="1"/>
    </row>
    <row r="479" spans="3:6" ht="14.25" customHeight="1" x14ac:dyDescent="0.25">
      <c r="C479" s="1"/>
      <c r="E479" s="1"/>
      <c r="F479" s="1"/>
    </row>
    <row r="480" spans="3:6" ht="14.25" customHeight="1" x14ac:dyDescent="0.25">
      <c r="C480" s="1"/>
      <c r="E480" s="1"/>
      <c r="F480" s="1"/>
    </row>
    <row r="481" spans="3:6" ht="14.25" customHeight="1" x14ac:dyDescent="0.25">
      <c r="C481" s="1"/>
      <c r="E481" s="1"/>
      <c r="F481" s="1"/>
    </row>
    <row r="482" spans="3:6" ht="14.25" customHeight="1" x14ac:dyDescent="0.25">
      <c r="C482" s="1"/>
      <c r="E482" s="1"/>
      <c r="F482" s="1"/>
    </row>
    <row r="483" spans="3:6" ht="14.25" customHeight="1" x14ac:dyDescent="0.25">
      <c r="C483" s="1"/>
      <c r="E483" s="1"/>
      <c r="F483" s="1"/>
    </row>
    <row r="484" spans="3:6" ht="14.25" customHeight="1" x14ac:dyDescent="0.25">
      <c r="C484" s="1"/>
      <c r="E484" s="1"/>
      <c r="F484" s="1"/>
    </row>
    <row r="485" spans="3:6" ht="14.25" customHeight="1" x14ac:dyDescent="0.25">
      <c r="C485" s="1"/>
      <c r="E485" s="1"/>
      <c r="F485" s="1"/>
    </row>
    <row r="486" spans="3:6" ht="14.25" customHeight="1" x14ac:dyDescent="0.25">
      <c r="C486" s="1"/>
      <c r="E486" s="1"/>
      <c r="F486" s="1"/>
    </row>
    <row r="487" spans="3:6" ht="14.25" customHeight="1" x14ac:dyDescent="0.25">
      <c r="C487" s="1"/>
      <c r="E487" s="1"/>
      <c r="F487" s="1"/>
    </row>
    <row r="488" spans="3:6" ht="14.25" customHeight="1" x14ac:dyDescent="0.25">
      <c r="C488" s="1"/>
      <c r="E488" s="1"/>
      <c r="F488" s="1"/>
    </row>
    <row r="489" spans="3:6" ht="14.25" customHeight="1" x14ac:dyDescent="0.25">
      <c r="C489" s="1"/>
      <c r="E489" s="1"/>
      <c r="F489" s="1"/>
    </row>
    <row r="490" spans="3:6" ht="14.25" customHeight="1" x14ac:dyDescent="0.25">
      <c r="C490" s="1"/>
      <c r="E490" s="1"/>
      <c r="F490" s="1"/>
    </row>
    <row r="491" spans="3:6" ht="14.25" customHeight="1" x14ac:dyDescent="0.25">
      <c r="C491" s="1"/>
      <c r="E491" s="1"/>
      <c r="F491" s="1"/>
    </row>
    <row r="492" spans="3:6" ht="14.25" customHeight="1" x14ac:dyDescent="0.25">
      <c r="C492" s="1"/>
      <c r="E492" s="1"/>
      <c r="F492" s="1"/>
    </row>
    <row r="493" spans="3:6" ht="14.25" customHeight="1" x14ac:dyDescent="0.25">
      <c r="C493" s="1"/>
      <c r="E493" s="1"/>
      <c r="F493" s="1"/>
    </row>
    <row r="494" spans="3:6" ht="14.25" customHeight="1" x14ac:dyDescent="0.25">
      <c r="C494" s="1"/>
      <c r="E494" s="1"/>
      <c r="F494" s="1"/>
    </row>
    <row r="495" spans="3:6" ht="14.25" customHeight="1" x14ac:dyDescent="0.25">
      <c r="C495" s="1"/>
      <c r="E495" s="1"/>
      <c r="F495" s="1"/>
    </row>
    <row r="496" spans="3:6" ht="14.25" customHeight="1" x14ac:dyDescent="0.25">
      <c r="C496" s="1"/>
      <c r="E496" s="1"/>
      <c r="F496" s="1"/>
    </row>
    <row r="497" spans="3:6" ht="14.25" customHeight="1" x14ac:dyDescent="0.25">
      <c r="C497" s="1"/>
      <c r="E497" s="1"/>
      <c r="F497" s="1"/>
    </row>
    <row r="498" spans="3:6" ht="14.25" customHeight="1" x14ac:dyDescent="0.25">
      <c r="C498" s="1"/>
      <c r="E498" s="1"/>
      <c r="F498" s="1"/>
    </row>
    <row r="499" spans="3:6" ht="14.25" customHeight="1" x14ac:dyDescent="0.25">
      <c r="C499" s="1"/>
      <c r="E499" s="1"/>
      <c r="F499" s="1"/>
    </row>
    <row r="500" spans="3:6" ht="14.25" customHeight="1" x14ac:dyDescent="0.25">
      <c r="C500" s="1"/>
      <c r="E500" s="1"/>
      <c r="F500" s="1"/>
    </row>
    <row r="501" spans="3:6" ht="14.25" customHeight="1" x14ac:dyDescent="0.25">
      <c r="C501" s="1"/>
      <c r="E501" s="1"/>
      <c r="F501" s="1"/>
    </row>
    <row r="502" spans="3:6" ht="14.25" customHeight="1" x14ac:dyDescent="0.25">
      <c r="C502" s="1"/>
      <c r="E502" s="1"/>
      <c r="F502" s="1"/>
    </row>
    <row r="503" spans="3:6" ht="14.25" customHeight="1" x14ac:dyDescent="0.25">
      <c r="C503" s="1"/>
      <c r="E503" s="1"/>
      <c r="F503" s="1"/>
    </row>
    <row r="504" spans="3:6" ht="14.25" customHeight="1" x14ac:dyDescent="0.25">
      <c r="C504" s="1"/>
      <c r="E504" s="1"/>
      <c r="F504" s="1"/>
    </row>
    <row r="505" spans="3:6" ht="14.25" customHeight="1" x14ac:dyDescent="0.25">
      <c r="C505" s="1"/>
      <c r="E505" s="1"/>
      <c r="F505" s="1"/>
    </row>
    <row r="506" spans="3:6" ht="14.25" customHeight="1" x14ac:dyDescent="0.25">
      <c r="C506" s="1"/>
      <c r="E506" s="1"/>
      <c r="F506" s="1"/>
    </row>
    <row r="507" spans="3:6" ht="14.25" customHeight="1" x14ac:dyDescent="0.25">
      <c r="C507" s="1"/>
      <c r="E507" s="1"/>
      <c r="F507" s="1"/>
    </row>
    <row r="508" spans="3:6" ht="14.25" customHeight="1" x14ac:dyDescent="0.25">
      <c r="C508" s="1"/>
      <c r="E508" s="1"/>
      <c r="F508" s="1"/>
    </row>
    <row r="509" spans="3:6" ht="14.25" customHeight="1" x14ac:dyDescent="0.25">
      <c r="C509" s="1"/>
      <c r="E509" s="1"/>
      <c r="F509" s="1"/>
    </row>
    <row r="510" spans="3:6" ht="14.25" customHeight="1" x14ac:dyDescent="0.25">
      <c r="C510" s="1"/>
      <c r="E510" s="1"/>
      <c r="F510" s="1"/>
    </row>
    <row r="511" spans="3:6" ht="14.25" customHeight="1" x14ac:dyDescent="0.25">
      <c r="C511" s="1"/>
      <c r="E511" s="1"/>
      <c r="F511" s="1"/>
    </row>
    <row r="512" spans="3:6" ht="14.25" customHeight="1" x14ac:dyDescent="0.25">
      <c r="C512" s="1"/>
      <c r="E512" s="1"/>
      <c r="F512" s="1"/>
    </row>
    <row r="513" spans="3:6" ht="14.25" customHeight="1" x14ac:dyDescent="0.25">
      <c r="C513" s="1"/>
      <c r="E513" s="1"/>
      <c r="F513" s="1"/>
    </row>
    <row r="514" spans="3:6" ht="14.25" customHeight="1" x14ac:dyDescent="0.25">
      <c r="C514" s="1"/>
      <c r="E514" s="1"/>
      <c r="F514" s="1"/>
    </row>
    <row r="515" spans="3:6" ht="14.25" customHeight="1" x14ac:dyDescent="0.25">
      <c r="C515" s="1"/>
      <c r="E515" s="1"/>
      <c r="F515" s="1"/>
    </row>
    <row r="516" spans="3:6" ht="14.25" customHeight="1" x14ac:dyDescent="0.25">
      <c r="C516" s="1"/>
      <c r="E516" s="1"/>
      <c r="F516" s="1"/>
    </row>
    <row r="517" spans="3:6" ht="14.25" customHeight="1" x14ac:dyDescent="0.25">
      <c r="C517" s="1"/>
      <c r="E517" s="1"/>
      <c r="F517" s="1"/>
    </row>
    <row r="518" spans="3:6" ht="14.25" customHeight="1" x14ac:dyDescent="0.25">
      <c r="C518" s="1"/>
      <c r="E518" s="1"/>
      <c r="F518" s="1"/>
    </row>
    <row r="519" spans="3:6" ht="14.25" customHeight="1" x14ac:dyDescent="0.25">
      <c r="C519" s="1"/>
      <c r="E519" s="1"/>
      <c r="F519" s="1"/>
    </row>
    <row r="520" spans="3:6" ht="14.25" customHeight="1" x14ac:dyDescent="0.25">
      <c r="C520" s="1"/>
      <c r="E520" s="1"/>
      <c r="F520" s="1"/>
    </row>
    <row r="521" spans="3:6" ht="14.25" customHeight="1" x14ac:dyDescent="0.25">
      <c r="C521" s="1"/>
      <c r="E521" s="1"/>
      <c r="F521" s="1"/>
    </row>
    <row r="522" spans="3:6" ht="14.25" customHeight="1" x14ac:dyDescent="0.25">
      <c r="C522" s="1"/>
      <c r="E522" s="1"/>
      <c r="F522" s="1"/>
    </row>
    <row r="523" spans="3:6" ht="14.25" customHeight="1" x14ac:dyDescent="0.25">
      <c r="C523" s="1"/>
      <c r="E523" s="1"/>
      <c r="F523" s="1"/>
    </row>
    <row r="524" spans="3:6" ht="14.25" customHeight="1" x14ac:dyDescent="0.25">
      <c r="C524" s="1"/>
      <c r="E524" s="1"/>
      <c r="F524" s="1"/>
    </row>
    <row r="525" spans="3:6" ht="14.25" customHeight="1" x14ac:dyDescent="0.25">
      <c r="C525" s="1"/>
      <c r="E525" s="1"/>
      <c r="F525" s="1"/>
    </row>
    <row r="526" spans="3:6" ht="14.25" customHeight="1" x14ac:dyDescent="0.25">
      <c r="C526" s="1"/>
      <c r="E526" s="1"/>
      <c r="F526" s="1"/>
    </row>
    <row r="527" spans="3:6" ht="14.25" customHeight="1" x14ac:dyDescent="0.25">
      <c r="C527" s="1"/>
      <c r="E527" s="1"/>
      <c r="F527" s="1"/>
    </row>
    <row r="528" spans="3:6" ht="14.25" customHeight="1" x14ac:dyDescent="0.25">
      <c r="C528" s="1"/>
      <c r="E528" s="1"/>
      <c r="F528" s="1"/>
    </row>
    <row r="529" spans="3:6" ht="14.25" customHeight="1" x14ac:dyDescent="0.25">
      <c r="C529" s="1"/>
      <c r="E529" s="1"/>
      <c r="F529" s="1"/>
    </row>
    <row r="530" spans="3:6" ht="14.25" customHeight="1" x14ac:dyDescent="0.25">
      <c r="C530" s="1"/>
      <c r="E530" s="1"/>
      <c r="F530" s="1"/>
    </row>
    <row r="531" spans="3:6" ht="14.25" customHeight="1" x14ac:dyDescent="0.25">
      <c r="C531" s="1"/>
      <c r="E531" s="1"/>
      <c r="F531" s="1"/>
    </row>
    <row r="532" spans="3:6" ht="14.25" customHeight="1" x14ac:dyDescent="0.25">
      <c r="C532" s="1"/>
      <c r="E532" s="1"/>
      <c r="F532" s="1"/>
    </row>
    <row r="533" spans="3:6" ht="14.25" customHeight="1" x14ac:dyDescent="0.25">
      <c r="C533" s="1"/>
      <c r="E533" s="1"/>
      <c r="F533" s="1"/>
    </row>
    <row r="534" spans="3:6" ht="14.25" customHeight="1" x14ac:dyDescent="0.25">
      <c r="C534" s="1"/>
      <c r="E534" s="1"/>
      <c r="F534" s="1"/>
    </row>
    <row r="535" spans="3:6" ht="14.25" customHeight="1" x14ac:dyDescent="0.25">
      <c r="C535" s="1"/>
      <c r="E535" s="1"/>
      <c r="F535" s="1"/>
    </row>
    <row r="536" spans="3:6" ht="14.25" customHeight="1" x14ac:dyDescent="0.25">
      <c r="C536" s="1"/>
      <c r="E536" s="1"/>
      <c r="F536" s="1"/>
    </row>
    <row r="537" spans="3:6" ht="14.25" customHeight="1" x14ac:dyDescent="0.25">
      <c r="C537" s="1"/>
      <c r="E537" s="1"/>
      <c r="F537" s="1"/>
    </row>
    <row r="538" spans="3:6" ht="14.25" customHeight="1" x14ac:dyDescent="0.25">
      <c r="C538" s="1"/>
      <c r="E538" s="1"/>
      <c r="F538" s="1"/>
    </row>
    <row r="539" spans="3:6" ht="14.25" customHeight="1" x14ac:dyDescent="0.25">
      <c r="C539" s="1"/>
      <c r="E539" s="1"/>
      <c r="F539" s="1"/>
    </row>
    <row r="540" spans="3:6" ht="14.25" customHeight="1" x14ac:dyDescent="0.25">
      <c r="C540" s="1"/>
      <c r="E540" s="1"/>
      <c r="F540" s="1"/>
    </row>
    <row r="541" spans="3:6" ht="14.25" customHeight="1" x14ac:dyDescent="0.25">
      <c r="C541" s="1"/>
      <c r="E541" s="1"/>
      <c r="F541" s="1"/>
    </row>
    <row r="542" spans="3:6" ht="14.25" customHeight="1" x14ac:dyDescent="0.25">
      <c r="C542" s="1"/>
      <c r="E542" s="1"/>
      <c r="F542" s="1"/>
    </row>
    <row r="543" spans="3:6" ht="14.25" customHeight="1" x14ac:dyDescent="0.25">
      <c r="C543" s="1"/>
      <c r="E543" s="1"/>
      <c r="F543" s="1"/>
    </row>
    <row r="544" spans="3:6" ht="14.25" customHeight="1" x14ac:dyDescent="0.25">
      <c r="C544" s="1"/>
      <c r="E544" s="1"/>
      <c r="F544" s="1"/>
    </row>
    <row r="545" spans="3:6" ht="14.25" customHeight="1" x14ac:dyDescent="0.25">
      <c r="C545" s="1"/>
      <c r="E545" s="1"/>
      <c r="F545" s="1"/>
    </row>
    <row r="546" spans="3:6" ht="14.25" customHeight="1" x14ac:dyDescent="0.25">
      <c r="C546" s="1"/>
      <c r="E546" s="1"/>
      <c r="F546" s="1"/>
    </row>
    <row r="547" spans="3:6" ht="14.25" customHeight="1" x14ac:dyDescent="0.25">
      <c r="C547" s="1"/>
      <c r="E547" s="1"/>
      <c r="F547" s="1"/>
    </row>
    <row r="548" spans="3:6" ht="14.25" customHeight="1" x14ac:dyDescent="0.25">
      <c r="C548" s="1"/>
      <c r="E548" s="1"/>
      <c r="F548" s="1"/>
    </row>
    <row r="549" spans="3:6" ht="14.25" customHeight="1" x14ac:dyDescent="0.25">
      <c r="C549" s="1"/>
      <c r="E549" s="1"/>
      <c r="F549" s="1"/>
    </row>
    <row r="550" spans="3:6" ht="14.25" customHeight="1" x14ac:dyDescent="0.25">
      <c r="C550" s="1"/>
      <c r="E550" s="1"/>
      <c r="F550" s="1"/>
    </row>
    <row r="551" spans="3:6" ht="14.25" customHeight="1" x14ac:dyDescent="0.25">
      <c r="C551" s="1"/>
      <c r="E551" s="1"/>
      <c r="F551" s="1"/>
    </row>
    <row r="552" spans="3:6" ht="14.25" customHeight="1" x14ac:dyDescent="0.25">
      <c r="C552" s="1"/>
      <c r="E552" s="1"/>
      <c r="F552" s="1"/>
    </row>
    <row r="553" spans="3:6" ht="14.25" customHeight="1" x14ac:dyDescent="0.25">
      <c r="C553" s="1"/>
      <c r="E553" s="1"/>
      <c r="F553" s="1"/>
    </row>
    <row r="554" spans="3:6" ht="14.25" customHeight="1" x14ac:dyDescent="0.25">
      <c r="C554" s="1"/>
      <c r="E554" s="1"/>
      <c r="F554" s="1"/>
    </row>
    <row r="555" spans="3:6" ht="14.25" customHeight="1" x14ac:dyDescent="0.25">
      <c r="C555" s="1"/>
      <c r="E555" s="1"/>
      <c r="F555" s="1"/>
    </row>
    <row r="556" spans="3:6" ht="14.25" customHeight="1" x14ac:dyDescent="0.25">
      <c r="C556" s="1"/>
      <c r="E556" s="1"/>
      <c r="F556" s="1"/>
    </row>
    <row r="557" spans="3:6" ht="14.25" customHeight="1" x14ac:dyDescent="0.25">
      <c r="C557" s="1"/>
      <c r="E557" s="1"/>
      <c r="F557" s="1"/>
    </row>
    <row r="558" spans="3:6" ht="14.25" customHeight="1" x14ac:dyDescent="0.25">
      <c r="C558" s="1"/>
      <c r="E558" s="1"/>
      <c r="F558" s="1"/>
    </row>
    <row r="559" spans="3:6" ht="14.25" customHeight="1" x14ac:dyDescent="0.25">
      <c r="C559" s="1"/>
      <c r="E559" s="1"/>
      <c r="F559" s="1"/>
    </row>
    <row r="560" spans="3:6" ht="14.25" customHeight="1" x14ac:dyDescent="0.25">
      <c r="C560" s="1"/>
      <c r="E560" s="1"/>
      <c r="F560" s="1"/>
    </row>
    <row r="561" spans="3:6" ht="14.25" customHeight="1" x14ac:dyDescent="0.25">
      <c r="C561" s="1"/>
      <c r="E561" s="1"/>
      <c r="F561" s="1"/>
    </row>
    <row r="562" spans="3:6" ht="14.25" customHeight="1" x14ac:dyDescent="0.25">
      <c r="C562" s="1"/>
      <c r="E562" s="1"/>
      <c r="F562" s="1"/>
    </row>
    <row r="563" spans="3:6" ht="14.25" customHeight="1" x14ac:dyDescent="0.25">
      <c r="C563" s="1"/>
      <c r="E563" s="1"/>
      <c r="F563" s="1"/>
    </row>
    <row r="564" spans="3:6" ht="14.25" customHeight="1" x14ac:dyDescent="0.25">
      <c r="C564" s="1"/>
      <c r="E564" s="1"/>
      <c r="F564" s="1"/>
    </row>
    <row r="565" spans="3:6" ht="14.25" customHeight="1" x14ac:dyDescent="0.25">
      <c r="C565" s="1"/>
      <c r="E565" s="1"/>
      <c r="F565" s="1"/>
    </row>
    <row r="566" spans="3:6" ht="14.25" customHeight="1" x14ac:dyDescent="0.25">
      <c r="C566" s="1"/>
      <c r="E566" s="1"/>
      <c r="F566" s="1"/>
    </row>
    <row r="567" spans="3:6" ht="14.25" customHeight="1" x14ac:dyDescent="0.25">
      <c r="C567" s="1"/>
      <c r="E567" s="1"/>
      <c r="F567" s="1"/>
    </row>
    <row r="568" spans="3:6" ht="14.25" customHeight="1" x14ac:dyDescent="0.25">
      <c r="C568" s="1"/>
      <c r="E568" s="1"/>
      <c r="F568" s="1"/>
    </row>
    <row r="569" spans="3:6" ht="14.25" customHeight="1" x14ac:dyDescent="0.25">
      <c r="C569" s="1"/>
      <c r="E569" s="1"/>
      <c r="F569" s="1"/>
    </row>
    <row r="570" spans="3:6" ht="14.25" customHeight="1" x14ac:dyDescent="0.25">
      <c r="C570" s="1"/>
      <c r="E570" s="1"/>
      <c r="F570" s="1"/>
    </row>
    <row r="571" spans="3:6" ht="14.25" customHeight="1" x14ac:dyDescent="0.25">
      <c r="C571" s="1"/>
      <c r="E571" s="1"/>
      <c r="F571" s="1"/>
    </row>
    <row r="572" spans="3:6" ht="14.25" customHeight="1" x14ac:dyDescent="0.25">
      <c r="C572" s="1"/>
      <c r="E572" s="1"/>
      <c r="F572" s="1"/>
    </row>
    <row r="573" spans="3:6" ht="14.25" customHeight="1" x14ac:dyDescent="0.25">
      <c r="C573" s="1"/>
      <c r="E573" s="1"/>
      <c r="F573" s="1"/>
    </row>
    <row r="574" spans="3:6" ht="14.25" customHeight="1" x14ac:dyDescent="0.25">
      <c r="C574" s="1"/>
      <c r="E574" s="1"/>
      <c r="F574" s="1"/>
    </row>
    <row r="575" spans="3:6" ht="14.25" customHeight="1" x14ac:dyDescent="0.25">
      <c r="C575" s="1"/>
      <c r="E575" s="1"/>
      <c r="F575" s="1"/>
    </row>
    <row r="576" spans="3:6" ht="14.25" customHeight="1" x14ac:dyDescent="0.25">
      <c r="C576" s="1"/>
      <c r="E576" s="1"/>
      <c r="F576" s="1"/>
    </row>
    <row r="577" spans="3:6" ht="14.25" customHeight="1" x14ac:dyDescent="0.25">
      <c r="C577" s="1"/>
      <c r="E577" s="1"/>
      <c r="F577" s="1"/>
    </row>
    <row r="578" spans="3:6" ht="14.25" customHeight="1" x14ac:dyDescent="0.25">
      <c r="C578" s="1"/>
      <c r="E578" s="1"/>
      <c r="F578" s="1"/>
    </row>
    <row r="579" spans="3:6" ht="14.25" customHeight="1" x14ac:dyDescent="0.25">
      <c r="C579" s="1"/>
      <c r="E579" s="1"/>
      <c r="F579" s="1"/>
    </row>
    <row r="580" spans="3:6" ht="14.25" customHeight="1" x14ac:dyDescent="0.25">
      <c r="C580" s="1"/>
      <c r="E580" s="1"/>
      <c r="F580" s="1"/>
    </row>
    <row r="581" spans="3:6" ht="14.25" customHeight="1" x14ac:dyDescent="0.25">
      <c r="C581" s="1"/>
      <c r="E581" s="1"/>
      <c r="F581" s="1"/>
    </row>
    <row r="582" spans="3:6" ht="14.25" customHeight="1" x14ac:dyDescent="0.25">
      <c r="C582" s="1"/>
      <c r="E582" s="1"/>
      <c r="F582" s="1"/>
    </row>
    <row r="583" spans="3:6" ht="14.25" customHeight="1" x14ac:dyDescent="0.25">
      <c r="C583" s="1"/>
      <c r="E583" s="1"/>
      <c r="F583" s="1"/>
    </row>
    <row r="584" spans="3:6" ht="14.25" customHeight="1" x14ac:dyDescent="0.25">
      <c r="C584" s="1"/>
      <c r="E584" s="1"/>
      <c r="F584" s="1"/>
    </row>
    <row r="585" spans="3:6" ht="14.25" customHeight="1" x14ac:dyDescent="0.25">
      <c r="C585" s="1"/>
      <c r="E585" s="1"/>
      <c r="F585" s="1"/>
    </row>
    <row r="586" spans="3:6" ht="14.25" customHeight="1" x14ac:dyDescent="0.25">
      <c r="C586" s="1"/>
      <c r="E586" s="1"/>
      <c r="F586" s="1"/>
    </row>
    <row r="587" spans="3:6" ht="14.25" customHeight="1" x14ac:dyDescent="0.25">
      <c r="C587" s="1"/>
      <c r="E587" s="1"/>
      <c r="F587" s="1"/>
    </row>
    <row r="588" spans="3:6" ht="14.25" customHeight="1" x14ac:dyDescent="0.25">
      <c r="C588" s="1"/>
      <c r="E588" s="1"/>
      <c r="F588" s="1"/>
    </row>
    <row r="589" spans="3:6" ht="14.25" customHeight="1" x14ac:dyDescent="0.25">
      <c r="C589" s="1"/>
      <c r="E589" s="1"/>
      <c r="F589" s="1"/>
    </row>
    <row r="590" spans="3:6" ht="14.25" customHeight="1" x14ac:dyDescent="0.25">
      <c r="C590" s="1"/>
      <c r="E590" s="1"/>
      <c r="F590" s="1"/>
    </row>
    <row r="591" spans="3:6" ht="14.25" customHeight="1" x14ac:dyDescent="0.25">
      <c r="C591" s="1"/>
      <c r="E591" s="1"/>
      <c r="F591" s="1"/>
    </row>
    <row r="592" spans="3:6" ht="14.25" customHeight="1" x14ac:dyDescent="0.25">
      <c r="C592" s="1"/>
      <c r="E592" s="1"/>
      <c r="F592" s="1"/>
    </row>
    <row r="593" spans="3:6" ht="14.25" customHeight="1" x14ac:dyDescent="0.25">
      <c r="C593" s="1"/>
      <c r="E593" s="1"/>
      <c r="F593" s="1"/>
    </row>
    <row r="594" spans="3:6" ht="14.25" customHeight="1" x14ac:dyDescent="0.25">
      <c r="C594" s="1"/>
      <c r="E594" s="1"/>
      <c r="F594" s="1"/>
    </row>
    <row r="595" spans="3:6" ht="14.25" customHeight="1" x14ac:dyDescent="0.25">
      <c r="C595" s="1"/>
      <c r="E595" s="1"/>
      <c r="F595" s="1"/>
    </row>
    <row r="596" spans="3:6" ht="14.25" customHeight="1" x14ac:dyDescent="0.25">
      <c r="C596" s="1"/>
      <c r="E596" s="1"/>
      <c r="F596" s="1"/>
    </row>
    <row r="597" spans="3:6" ht="14.25" customHeight="1" x14ac:dyDescent="0.25">
      <c r="C597" s="1"/>
      <c r="E597" s="1"/>
      <c r="F597" s="1"/>
    </row>
    <row r="598" spans="3:6" ht="14.25" customHeight="1" x14ac:dyDescent="0.25">
      <c r="C598" s="1"/>
      <c r="E598" s="1"/>
      <c r="F598" s="1"/>
    </row>
    <row r="599" spans="3:6" ht="14.25" customHeight="1" x14ac:dyDescent="0.25">
      <c r="C599" s="1"/>
      <c r="E599" s="1"/>
      <c r="F599" s="1"/>
    </row>
    <row r="600" spans="3:6" ht="14.25" customHeight="1" x14ac:dyDescent="0.25">
      <c r="C600" s="1"/>
      <c r="E600" s="1"/>
      <c r="F600" s="1"/>
    </row>
    <row r="601" spans="3:6" ht="14.25" customHeight="1" x14ac:dyDescent="0.25">
      <c r="C601" s="1"/>
      <c r="E601" s="1"/>
      <c r="F601" s="1"/>
    </row>
    <row r="602" spans="3:6" ht="14.25" customHeight="1" x14ac:dyDescent="0.25">
      <c r="C602" s="1"/>
      <c r="E602" s="1"/>
      <c r="F602" s="1"/>
    </row>
    <row r="603" spans="3:6" ht="14.25" customHeight="1" x14ac:dyDescent="0.25">
      <c r="C603" s="1"/>
      <c r="E603" s="1"/>
      <c r="F603" s="1"/>
    </row>
    <row r="604" spans="3:6" ht="14.25" customHeight="1" x14ac:dyDescent="0.25">
      <c r="C604" s="1"/>
      <c r="E604" s="1"/>
      <c r="F604" s="1"/>
    </row>
    <row r="605" spans="3:6" ht="14.25" customHeight="1" x14ac:dyDescent="0.25">
      <c r="C605" s="1"/>
      <c r="E605" s="1"/>
      <c r="F605" s="1"/>
    </row>
    <row r="606" spans="3:6" ht="14.25" customHeight="1" x14ac:dyDescent="0.25">
      <c r="C606" s="1"/>
      <c r="E606" s="1"/>
      <c r="F606" s="1"/>
    </row>
    <row r="607" spans="3:6" ht="14.25" customHeight="1" x14ac:dyDescent="0.25">
      <c r="C607" s="1"/>
      <c r="E607" s="1"/>
      <c r="F607" s="1"/>
    </row>
    <row r="608" spans="3:6" ht="14.25" customHeight="1" x14ac:dyDescent="0.25">
      <c r="C608" s="1"/>
      <c r="E608" s="1"/>
      <c r="F608" s="1"/>
    </row>
    <row r="609" spans="3:6" ht="14.25" customHeight="1" x14ac:dyDescent="0.25">
      <c r="C609" s="1"/>
      <c r="E609" s="1"/>
      <c r="F609" s="1"/>
    </row>
    <row r="610" spans="3:6" ht="14.25" customHeight="1" x14ac:dyDescent="0.25">
      <c r="C610" s="1"/>
      <c r="E610" s="1"/>
      <c r="F610" s="1"/>
    </row>
    <row r="611" spans="3:6" ht="14.25" customHeight="1" x14ac:dyDescent="0.25">
      <c r="C611" s="1"/>
      <c r="E611" s="1"/>
      <c r="F611" s="1"/>
    </row>
    <row r="612" spans="3:6" ht="14.25" customHeight="1" x14ac:dyDescent="0.25">
      <c r="C612" s="1"/>
      <c r="E612" s="1"/>
      <c r="F612" s="1"/>
    </row>
    <row r="613" spans="3:6" ht="14.25" customHeight="1" x14ac:dyDescent="0.25">
      <c r="C613" s="1"/>
      <c r="E613" s="1"/>
      <c r="F613" s="1"/>
    </row>
    <row r="614" spans="3:6" ht="14.25" customHeight="1" x14ac:dyDescent="0.25">
      <c r="C614" s="1"/>
      <c r="E614" s="1"/>
      <c r="F614" s="1"/>
    </row>
    <row r="615" spans="3:6" ht="14.25" customHeight="1" x14ac:dyDescent="0.25">
      <c r="C615" s="1"/>
      <c r="E615" s="1"/>
      <c r="F615" s="1"/>
    </row>
    <row r="616" spans="3:6" ht="14.25" customHeight="1" x14ac:dyDescent="0.25">
      <c r="C616" s="1"/>
      <c r="E616" s="1"/>
      <c r="F616" s="1"/>
    </row>
    <row r="617" spans="3:6" ht="14.25" customHeight="1" x14ac:dyDescent="0.25">
      <c r="C617" s="1"/>
      <c r="E617" s="1"/>
      <c r="F617" s="1"/>
    </row>
    <row r="618" spans="3:6" ht="14.25" customHeight="1" x14ac:dyDescent="0.25">
      <c r="C618" s="1"/>
      <c r="E618" s="1"/>
      <c r="F618" s="1"/>
    </row>
    <row r="619" spans="3:6" ht="14.25" customHeight="1" x14ac:dyDescent="0.25">
      <c r="C619" s="1"/>
      <c r="E619" s="1"/>
      <c r="F619" s="1"/>
    </row>
    <row r="620" spans="3:6" ht="14.25" customHeight="1" x14ac:dyDescent="0.25">
      <c r="C620" s="1"/>
      <c r="E620" s="1"/>
      <c r="F620" s="1"/>
    </row>
    <row r="621" spans="3:6" ht="14.25" customHeight="1" x14ac:dyDescent="0.25">
      <c r="C621" s="1"/>
      <c r="E621" s="1"/>
      <c r="F621" s="1"/>
    </row>
    <row r="622" spans="3:6" ht="14.25" customHeight="1" x14ac:dyDescent="0.25">
      <c r="C622" s="1"/>
      <c r="E622" s="1"/>
      <c r="F622" s="1"/>
    </row>
    <row r="623" spans="3:6" ht="14.25" customHeight="1" x14ac:dyDescent="0.25">
      <c r="C623" s="1"/>
      <c r="E623" s="1"/>
      <c r="F623" s="1"/>
    </row>
    <row r="624" spans="3:6" ht="14.25" customHeight="1" x14ac:dyDescent="0.25">
      <c r="C624" s="1"/>
      <c r="E624" s="1"/>
      <c r="F624" s="1"/>
    </row>
    <row r="625" spans="3:6" ht="14.25" customHeight="1" x14ac:dyDescent="0.25">
      <c r="C625" s="1"/>
      <c r="E625" s="1"/>
      <c r="F625" s="1"/>
    </row>
    <row r="626" spans="3:6" ht="14.25" customHeight="1" x14ac:dyDescent="0.25">
      <c r="C626" s="1"/>
      <c r="E626" s="1"/>
      <c r="F626" s="1"/>
    </row>
    <row r="627" spans="3:6" ht="14.25" customHeight="1" x14ac:dyDescent="0.25">
      <c r="C627" s="1"/>
      <c r="E627" s="1"/>
      <c r="F627" s="1"/>
    </row>
    <row r="628" spans="3:6" ht="14.25" customHeight="1" x14ac:dyDescent="0.25">
      <c r="C628" s="1"/>
      <c r="E628" s="1"/>
      <c r="F628" s="1"/>
    </row>
    <row r="629" spans="3:6" ht="14.25" customHeight="1" x14ac:dyDescent="0.25">
      <c r="C629" s="1"/>
      <c r="E629" s="1"/>
      <c r="F629" s="1"/>
    </row>
    <row r="630" spans="3:6" ht="14.25" customHeight="1" x14ac:dyDescent="0.25">
      <c r="C630" s="1"/>
      <c r="E630" s="1"/>
      <c r="F630" s="1"/>
    </row>
    <row r="631" spans="3:6" ht="14.25" customHeight="1" x14ac:dyDescent="0.25">
      <c r="C631" s="1"/>
      <c r="E631" s="1"/>
      <c r="F631" s="1"/>
    </row>
    <row r="632" spans="3:6" ht="14.25" customHeight="1" x14ac:dyDescent="0.25">
      <c r="C632" s="1"/>
      <c r="E632" s="1"/>
      <c r="F632" s="1"/>
    </row>
    <row r="633" spans="3:6" ht="14.25" customHeight="1" x14ac:dyDescent="0.25">
      <c r="C633" s="1"/>
      <c r="E633" s="1"/>
      <c r="F633" s="1"/>
    </row>
    <row r="634" spans="3:6" ht="14.25" customHeight="1" x14ac:dyDescent="0.25">
      <c r="C634" s="1"/>
      <c r="E634" s="1"/>
      <c r="F634" s="1"/>
    </row>
    <row r="635" spans="3:6" ht="14.25" customHeight="1" x14ac:dyDescent="0.25">
      <c r="C635" s="1"/>
      <c r="E635" s="1"/>
      <c r="F635" s="1"/>
    </row>
    <row r="636" spans="3:6" ht="14.25" customHeight="1" x14ac:dyDescent="0.25">
      <c r="C636" s="1"/>
      <c r="E636" s="1"/>
      <c r="F636" s="1"/>
    </row>
    <row r="637" spans="3:6" ht="14.25" customHeight="1" x14ac:dyDescent="0.25">
      <c r="C637" s="1"/>
      <c r="E637" s="1"/>
      <c r="F637" s="1"/>
    </row>
    <row r="638" spans="3:6" ht="14.25" customHeight="1" x14ac:dyDescent="0.25">
      <c r="C638" s="1"/>
      <c r="E638" s="1"/>
      <c r="F638" s="1"/>
    </row>
    <row r="639" spans="3:6" ht="14.25" customHeight="1" x14ac:dyDescent="0.25">
      <c r="C639" s="1"/>
      <c r="E639" s="1"/>
      <c r="F639" s="1"/>
    </row>
    <row r="640" spans="3:6" ht="14.25" customHeight="1" x14ac:dyDescent="0.25">
      <c r="C640" s="1"/>
      <c r="E640" s="1"/>
      <c r="F640" s="1"/>
    </row>
    <row r="641" spans="3:6" ht="14.25" customHeight="1" x14ac:dyDescent="0.25">
      <c r="C641" s="1"/>
      <c r="E641" s="1"/>
      <c r="F641" s="1"/>
    </row>
    <row r="642" spans="3:6" ht="14.25" customHeight="1" x14ac:dyDescent="0.25">
      <c r="C642" s="1"/>
      <c r="E642" s="1"/>
      <c r="F642" s="1"/>
    </row>
    <row r="643" spans="3:6" ht="14.25" customHeight="1" x14ac:dyDescent="0.25">
      <c r="C643" s="1"/>
      <c r="E643" s="1"/>
      <c r="F643" s="1"/>
    </row>
    <row r="644" spans="3:6" ht="14.25" customHeight="1" x14ac:dyDescent="0.25">
      <c r="C644" s="1"/>
      <c r="E644" s="1"/>
      <c r="F644" s="1"/>
    </row>
    <row r="645" spans="3:6" ht="14.25" customHeight="1" x14ac:dyDescent="0.25">
      <c r="C645" s="1"/>
      <c r="E645" s="1"/>
      <c r="F645" s="1"/>
    </row>
    <row r="646" spans="3:6" ht="14.25" customHeight="1" x14ac:dyDescent="0.25">
      <c r="C646" s="1"/>
      <c r="E646" s="1"/>
      <c r="F646" s="1"/>
    </row>
    <row r="647" spans="3:6" ht="14.25" customHeight="1" x14ac:dyDescent="0.25">
      <c r="C647" s="1"/>
      <c r="E647" s="1"/>
      <c r="F647" s="1"/>
    </row>
    <row r="648" spans="3:6" ht="14.25" customHeight="1" x14ac:dyDescent="0.25">
      <c r="C648" s="1"/>
      <c r="E648" s="1"/>
      <c r="F648" s="1"/>
    </row>
    <row r="649" spans="3:6" ht="14.25" customHeight="1" x14ac:dyDescent="0.25">
      <c r="C649" s="1"/>
      <c r="E649" s="1"/>
      <c r="F649" s="1"/>
    </row>
    <row r="650" spans="3:6" ht="14.25" customHeight="1" x14ac:dyDescent="0.25">
      <c r="C650" s="1"/>
      <c r="E650" s="1"/>
      <c r="F650" s="1"/>
    </row>
    <row r="651" spans="3:6" ht="14.25" customHeight="1" x14ac:dyDescent="0.25">
      <c r="C651" s="1"/>
      <c r="E651" s="1"/>
      <c r="F651" s="1"/>
    </row>
    <row r="652" spans="3:6" ht="14.25" customHeight="1" x14ac:dyDescent="0.25">
      <c r="C652" s="1"/>
      <c r="E652" s="1"/>
      <c r="F652" s="1"/>
    </row>
    <row r="653" spans="3:6" ht="14.25" customHeight="1" x14ac:dyDescent="0.25">
      <c r="C653" s="1"/>
      <c r="E653" s="1"/>
      <c r="F653" s="1"/>
    </row>
    <row r="654" spans="3:6" ht="14.25" customHeight="1" x14ac:dyDescent="0.25">
      <c r="C654" s="1"/>
      <c r="E654" s="1"/>
      <c r="F654" s="1"/>
    </row>
    <row r="655" spans="3:6" ht="14.25" customHeight="1" x14ac:dyDescent="0.25">
      <c r="C655" s="1"/>
      <c r="E655" s="1"/>
      <c r="F655" s="1"/>
    </row>
    <row r="656" spans="3:6" ht="14.25" customHeight="1" x14ac:dyDescent="0.25">
      <c r="C656" s="1"/>
      <c r="E656" s="1"/>
      <c r="F656" s="1"/>
    </row>
    <row r="657" spans="3:6" ht="14.25" customHeight="1" x14ac:dyDescent="0.25">
      <c r="C657" s="1"/>
      <c r="E657" s="1"/>
      <c r="F657" s="1"/>
    </row>
    <row r="658" spans="3:6" ht="14.25" customHeight="1" x14ac:dyDescent="0.25">
      <c r="C658" s="1"/>
      <c r="E658" s="1"/>
      <c r="F658" s="1"/>
    </row>
    <row r="659" spans="3:6" ht="14.25" customHeight="1" x14ac:dyDescent="0.25">
      <c r="C659" s="1"/>
      <c r="E659" s="1"/>
      <c r="F659" s="1"/>
    </row>
    <row r="660" spans="3:6" ht="14.25" customHeight="1" x14ac:dyDescent="0.25">
      <c r="C660" s="1"/>
      <c r="E660" s="1"/>
      <c r="F660" s="1"/>
    </row>
    <row r="661" spans="3:6" ht="14.25" customHeight="1" x14ac:dyDescent="0.25">
      <c r="C661" s="1"/>
      <c r="E661" s="1"/>
      <c r="F661" s="1"/>
    </row>
    <row r="662" spans="3:6" ht="14.25" customHeight="1" x14ac:dyDescent="0.25">
      <c r="C662" s="1"/>
      <c r="E662" s="1"/>
      <c r="F662" s="1"/>
    </row>
    <row r="663" spans="3:6" ht="14.25" customHeight="1" x14ac:dyDescent="0.25">
      <c r="C663" s="1"/>
      <c r="E663" s="1"/>
      <c r="F663" s="1"/>
    </row>
    <row r="664" spans="3:6" ht="14.25" customHeight="1" x14ac:dyDescent="0.25">
      <c r="C664" s="1"/>
      <c r="E664" s="1"/>
      <c r="F664" s="1"/>
    </row>
    <row r="665" spans="3:6" ht="14.25" customHeight="1" x14ac:dyDescent="0.25">
      <c r="C665" s="1"/>
      <c r="E665" s="1"/>
      <c r="F665" s="1"/>
    </row>
    <row r="666" spans="3:6" ht="14.25" customHeight="1" x14ac:dyDescent="0.25">
      <c r="C666" s="1"/>
      <c r="E666" s="1"/>
      <c r="F666" s="1"/>
    </row>
    <row r="667" spans="3:6" ht="14.25" customHeight="1" x14ac:dyDescent="0.25">
      <c r="C667" s="1"/>
      <c r="E667" s="1"/>
      <c r="F667" s="1"/>
    </row>
    <row r="668" spans="3:6" ht="14.25" customHeight="1" x14ac:dyDescent="0.25">
      <c r="C668" s="1"/>
      <c r="E668" s="1"/>
      <c r="F668" s="1"/>
    </row>
    <row r="669" spans="3:6" ht="14.25" customHeight="1" x14ac:dyDescent="0.25">
      <c r="C669" s="1"/>
      <c r="E669" s="1"/>
      <c r="F669" s="1"/>
    </row>
    <row r="670" spans="3:6" ht="14.25" customHeight="1" x14ac:dyDescent="0.25">
      <c r="C670" s="1"/>
      <c r="E670" s="1"/>
      <c r="F670" s="1"/>
    </row>
    <row r="671" spans="3:6" ht="14.25" customHeight="1" x14ac:dyDescent="0.25">
      <c r="C671" s="1"/>
      <c r="E671" s="1"/>
      <c r="F671" s="1"/>
    </row>
    <row r="672" spans="3:6" ht="14.25" customHeight="1" x14ac:dyDescent="0.25">
      <c r="C672" s="1"/>
      <c r="E672" s="1"/>
      <c r="F672" s="1"/>
    </row>
    <row r="673" spans="3:6" ht="14.25" customHeight="1" x14ac:dyDescent="0.25">
      <c r="C673" s="1"/>
      <c r="E673" s="1"/>
      <c r="F673" s="1"/>
    </row>
    <row r="674" spans="3:6" ht="14.25" customHeight="1" x14ac:dyDescent="0.25">
      <c r="C674" s="1"/>
      <c r="E674" s="1"/>
      <c r="F674" s="1"/>
    </row>
    <row r="675" spans="3:6" ht="14.25" customHeight="1" x14ac:dyDescent="0.25">
      <c r="C675" s="1"/>
      <c r="E675" s="1"/>
      <c r="F675" s="1"/>
    </row>
    <row r="676" spans="3:6" ht="14.25" customHeight="1" x14ac:dyDescent="0.25">
      <c r="C676" s="1"/>
      <c r="E676" s="1"/>
      <c r="F676" s="1"/>
    </row>
    <row r="677" spans="3:6" ht="14.25" customHeight="1" x14ac:dyDescent="0.25">
      <c r="C677" s="1"/>
      <c r="E677" s="1"/>
      <c r="F677" s="1"/>
    </row>
    <row r="678" spans="3:6" ht="14.25" customHeight="1" x14ac:dyDescent="0.25">
      <c r="C678" s="1"/>
      <c r="E678" s="1"/>
      <c r="F678" s="1"/>
    </row>
    <row r="679" spans="3:6" ht="14.25" customHeight="1" x14ac:dyDescent="0.25">
      <c r="C679" s="1"/>
      <c r="E679" s="1"/>
      <c r="F679" s="1"/>
    </row>
    <row r="680" spans="3:6" ht="14.25" customHeight="1" x14ac:dyDescent="0.25">
      <c r="C680" s="1"/>
      <c r="E680" s="1"/>
      <c r="F680" s="1"/>
    </row>
    <row r="681" spans="3:6" ht="14.25" customHeight="1" x14ac:dyDescent="0.25">
      <c r="C681" s="1"/>
      <c r="E681" s="1"/>
      <c r="F681" s="1"/>
    </row>
    <row r="682" spans="3:6" ht="14.25" customHeight="1" x14ac:dyDescent="0.25">
      <c r="C682" s="1"/>
      <c r="E682" s="1"/>
      <c r="F682" s="1"/>
    </row>
    <row r="683" spans="3:6" ht="14.25" customHeight="1" x14ac:dyDescent="0.25">
      <c r="C683" s="1"/>
      <c r="E683" s="1"/>
      <c r="F683" s="1"/>
    </row>
    <row r="684" spans="3:6" ht="14.25" customHeight="1" x14ac:dyDescent="0.25">
      <c r="C684" s="1"/>
      <c r="E684" s="1"/>
      <c r="F684" s="1"/>
    </row>
    <row r="685" spans="3:6" ht="14.25" customHeight="1" x14ac:dyDescent="0.25">
      <c r="C685" s="1"/>
      <c r="E685" s="1"/>
      <c r="F685" s="1"/>
    </row>
    <row r="686" spans="3:6" ht="14.25" customHeight="1" x14ac:dyDescent="0.25">
      <c r="C686" s="1"/>
      <c r="E686" s="1"/>
      <c r="F686" s="1"/>
    </row>
    <row r="687" spans="3:6" ht="14.25" customHeight="1" x14ac:dyDescent="0.25">
      <c r="C687" s="1"/>
      <c r="E687" s="1"/>
      <c r="F687" s="1"/>
    </row>
    <row r="688" spans="3:6" ht="14.25" customHeight="1" x14ac:dyDescent="0.25">
      <c r="C688" s="1"/>
      <c r="E688" s="1"/>
      <c r="F688" s="1"/>
    </row>
    <row r="689" spans="3:6" ht="14.25" customHeight="1" x14ac:dyDescent="0.25">
      <c r="C689" s="1"/>
      <c r="E689" s="1"/>
      <c r="F689" s="1"/>
    </row>
    <row r="690" spans="3:6" ht="14.25" customHeight="1" x14ac:dyDescent="0.25">
      <c r="C690" s="1"/>
      <c r="E690" s="1"/>
      <c r="F690" s="1"/>
    </row>
    <row r="691" spans="3:6" ht="14.25" customHeight="1" x14ac:dyDescent="0.25">
      <c r="C691" s="1"/>
      <c r="E691" s="1"/>
      <c r="F691" s="1"/>
    </row>
    <row r="692" spans="3:6" ht="14.25" customHeight="1" x14ac:dyDescent="0.25">
      <c r="C692" s="1"/>
      <c r="E692" s="1"/>
      <c r="F692" s="1"/>
    </row>
    <row r="693" spans="3:6" ht="14.25" customHeight="1" x14ac:dyDescent="0.25">
      <c r="C693" s="1"/>
      <c r="E693" s="1"/>
      <c r="F693" s="1"/>
    </row>
    <row r="694" spans="3:6" ht="14.25" customHeight="1" x14ac:dyDescent="0.25">
      <c r="C694" s="1"/>
      <c r="E694" s="1"/>
      <c r="F694" s="1"/>
    </row>
    <row r="695" spans="3:6" ht="14.25" customHeight="1" x14ac:dyDescent="0.25">
      <c r="C695" s="1"/>
      <c r="E695" s="1"/>
      <c r="F695" s="1"/>
    </row>
    <row r="696" spans="3:6" ht="14.25" customHeight="1" x14ac:dyDescent="0.25">
      <c r="C696" s="1"/>
      <c r="E696" s="1"/>
      <c r="F696" s="1"/>
    </row>
    <row r="697" spans="3:6" ht="14.25" customHeight="1" x14ac:dyDescent="0.25">
      <c r="C697" s="1"/>
      <c r="E697" s="1"/>
      <c r="F697" s="1"/>
    </row>
    <row r="698" spans="3:6" ht="14.25" customHeight="1" x14ac:dyDescent="0.25">
      <c r="C698" s="1"/>
      <c r="E698" s="1"/>
      <c r="F698" s="1"/>
    </row>
    <row r="699" spans="3:6" ht="14.25" customHeight="1" x14ac:dyDescent="0.25">
      <c r="C699" s="1"/>
      <c r="E699" s="1"/>
      <c r="F699" s="1"/>
    </row>
    <row r="700" spans="3:6" ht="14.25" customHeight="1" x14ac:dyDescent="0.25">
      <c r="C700" s="1"/>
      <c r="E700" s="1"/>
      <c r="F700" s="1"/>
    </row>
    <row r="701" spans="3:6" ht="14.25" customHeight="1" x14ac:dyDescent="0.25">
      <c r="C701" s="1"/>
      <c r="E701" s="1"/>
      <c r="F701" s="1"/>
    </row>
    <row r="702" spans="3:6" ht="14.25" customHeight="1" x14ac:dyDescent="0.25">
      <c r="C702" s="1"/>
      <c r="E702" s="1"/>
      <c r="F702" s="1"/>
    </row>
    <row r="703" spans="3:6" ht="14.25" customHeight="1" x14ac:dyDescent="0.25">
      <c r="C703" s="1"/>
      <c r="E703" s="1"/>
      <c r="F703" s="1"/>
    </row>
    <row r="704" spans="3:6" ht="14.25" customHeight="1" x14ac:dyDescent="0.25">
      <c r="C704" s="1"/>
      <c r="E704" s="1"/>
      <c r="F704" s="1"/>
    </row>
    <row r="705" spans="3:6" ht="14.25" customHeight="1" x14ac:dyDescent="0.25">
      <c r="C705" s="1"/>
      <c r="E705" s="1"/>
      <c r="F705" s="1"/>
    </row>
    <row r="706" spans="3:6" ht="14.25" customHeight="1" x14ac:dyDescent="0.25">
      <c r="C706" s="1"/>
      <c r="E706" s="1"/>
      <c r="F706" s="1"/>
    </row>
    <row r="707" spans="3:6" ht="14.25" customHeight="1" x14ac:dyDescent="0.25">
      <c r="C707" s="1"/>
      <c r="E707" s="1"/>
      <c r="F707" s="1"/>
    </row>
    <row r="708" spans="3:6" ht="14.25" customHeight="1" x14ac:dyDescent="0.25">
      <c r="C708" s="1"/>
      <c r="E708" s="1"/>
      <c r="F708" s="1"/>
    </row>
    <row r="709" spans="3:6" ht="14.25" customHeight="1" x14ac:dyDescent="0.25">
      <c r="C709" s="1"/>
      <c r="E709" s="1"/>
      <c r="F709" s="1"/>
    </row>
    <row r="710" spans="3:6" ht="14.25" customHeight="1" x14ac:dyDescent="0.25">
      <c r="C710" s="1"/>
      <c r="E710" s="1"/>
      <c r="F710" s="1"/>
    </row>
    <row r="711" spans="3:6" ht="14.25" customHeight="1" x14ac:dyDescent="0.25">
      <c r="C711" s="1"/>
      <c r="E711" s="1"/>
      <c r="F711" s="1"/>
    </row>
    <row r="712" spans="3:6" ht="14.25" customHeight="1" x14ac:dyDescent="0.25">
      <c r="C712" s="1"/>
      <c r="E712" s="1"/>
      <c r="F712" s="1"/>
    </row>
    <row r="713" spans="3:6" ht="14.25" customHeight="1" x14ac:dyDescent="0.25">
      <c r="C713" s="1"/>
      <c r="E713" s="1"/>
      <c r="F713" s="1"/>
    </row>
    <row r="714" spans="3:6" ht="14.25" customHeight="1" x14ac:dyDescent="0.25">
      <c r="C714" s="1"/>
      <c r="E714" s="1"/>
      <c r="F714" s="1"/>
    </row>
    <row r="715" spans="3:6" ht="14.25" customHeight="1" x14ac:dyDescent="0.25">
      <c r="C715" s="1"/>
      <c r="E715" s="1"/>
      <c r="F715" s="1"/>
    </row>
    <row r="716" spans="3:6" ht="14.25" customHeight="1" x14ac:dyDescent="0.25">
      <c r="C716" s="1"/>
      <c r="E716" s="1"/>
      <c r="F716" s="1"/>
    </row>
    <row r="717" spans="3:6" ht="14.25" customHeight="1" x14ac:dyDescent="0.25">
      <c r="C717" s="1"/>
      <c r="E717" s="1"/>
      <c r="F717" s="1"/>
    </row>
    <row r="718" spans="3:6" ht="14.25" customHeight="1" x14ac:dyDescent="0.25">
      <c r="C718" s="1"/>
      <c r="E718" s="1"/>
      <c r="F718" s="1"/>
    </row>
    <row r="719" spans="3:6" ht="14.25" customHeight="1" x14ac:dyDescent="0.25">
      <c r="C719" s="1"/>
      <c r="E719" s="1"/>
      <c r="F719" s="1"/>
    </row>
    <row r="720" spans="3:6" ht="14.25" customHeight="1" x14ac:dyDescent="0.25">
      <c r="C720" s="1"/>
      <c r="E720" s="1"/>
      <c r="F720" s="1"/>
    </row>
    <row r="721" spans="3:6" ht="14.25" customHeight="1" x14ac:dyDescent="0.25">
      <c r="C721" s="1"/>
      <c r="E721" s="1"/>
      <c r="F721" s="1"/>
    </row>
    <row r="722" spans="3:6" ht="14.25" customHeight="1" x14ac:dyDescent="0.25">
      <c r="C722" s="1"/>
      <c r="E722" s="1"/>
      <c r="F722" s="1"/>
    </row>
    <row r="723" spans="3:6" ht="14.25" customHeight="1" x14ac:dyDescent="0.25">
      <c r="C723" s="1"/>
      <c r="E723" s="1"/>
      <c r="F723" s="1"/>
    </row>
    <row r="724" spans="3:6" ht="14.25" customHeight="1" x14ac:dyDescent="0.25">
      <c r="C724" s="1"/>
      <c r="E724" s="1"/>
      <c r="F724" s="1"/>
    </row>
    <row r="725" spans="3:6" ht="14.25" customHeight="1" x14ac:dyDescent="0.25">
      <c r="C725" s="1"/>
      <c r="E725" s="1"/>
      <c r="F725" s="1"/>
    </row>
    <row r="726" spans="3:6" ht="14.25" customHeight="1" x14ac:dyDescent="0.25">
      <c r="C726" s="1"/>
      <c r="E726" s="1"/>
      <c r="F726" s="1"/>
    </row>
    <row r="727" spans="3:6" ht="14.25" customHeight="1" x14ac:dyDescent="0.25">
      <c r="C727" s="1"/>
      <c r="E727" s="1"/>
      <c r="F727" s="1"/>
    </row>
    <row r="728" spans="3:6" ht="14.25" customHeight="1" x14ac:dyDescent="0.25">
      <c r="C728" s="1"/>
      <c r="E728" s="1"/>
      <c r="F728" s="1"/>
    </row>
    <row r="729" spans="3:6" ht="14.25" customHeight="1" x14ac:dyDescent="0.25">
      <c r="C729" s="1"/>
      <c r="E729" s="1"/>
      <c r="F729" s="1"/>
    </row>
    <row r="730" spans="3:6" ht="14.25" customHeight="1" x14ac:dyDescent="0.25">
      <c r="C730" s="1"/>
      <c r="E730" s="1"/>
      <c r="F730" s="1"/>
    </row>
    <row r="731" spans="3:6" ht="14.25" customHeight="1" x14ac:dyDescent="0.25">
      <c r="C731" s="1"/>
      <c r="E731" s="1"/>
      <c r="F731" s="1"/>
    </row>
    <row r="732" spans="3:6" ht="14.25" customHeight="1" x14ac:dyDescent="0.25">
      <c r="C732" s="1"/>
      <c r="E732" s="1"/>
      <c r="F732" s="1"/>
    </row>
    <row r="733" spans="3:6" ht="14.25" customHeight="1" x14ac:dyDescent="0.25">
      <c r="C733" s="1"/>
      <c r="E733" s="1"/>
      <c r="F733" s="1"/>
    </row>
    <row r="734" spans="3:6" ht="14.25" customHeight="1" x14ac:dyDescent="0.25">
      <c r="C734" s="1"/>
      <c r="E734" s="1"/>
      <c r="F734" s="1"/>
    </row>
    <row r="735" spans="3:6" ht="14.25" customHeight="1" x14ac:dyDescent="0.25">
      <c r="C735" s="1"/>
      <c r="E735" s="1"/>
      <c r="F735" s="1"/>
    </row>
    <row r="736" spans="3:6" ht="14.25" customHeight="1" x14ac:dyDescent="0.25">
      <c r="C736" s="1"/>
      <c r="E736" s="1"/>
      <c r="F736" s="1"/>
    </row>
    <row r="737" spans="3:6" ht="14.25" customHeight="1" x14ac:dyDescent="0.25">
      <c r="C737" s="1"/>
      <c r="E737" s="1"/>
      <c r="F737" s="1"/>
    </row>
    <row r="738" spans="3:6" ht="14.25" customHeight="1" x14ac:dyDescent="0.25">
      <c r="C738" s="1"/>
      <c r="E738" s="1"/>
      <c r="F738" s="1"/>
    </row>
    <row r="739" spans="3:6" ht="14.25" customHeight="1" x14ac:dyDescent="0.25">
      <c r="C739" s="1"/>
      <c r="E739" s="1"/>
      <c r="F739" s="1"/>
    </row>
    <row r="740" spans="3:6" ht="14.25" customHeight="1" x14ac:dyDescent="0.25">
      <c r="C740" s="1"/>
      <c r="E740" s="1"/>
      <c r="F740" s="1"/>
    </row>
    <row r="741" spans="3:6" ht="14.25" customHeight="1" x14ac:dyDescent="0.25">
      <c r="C741" s="1"/>
      <c r="E741" s="1"/>
      <c r="F741" s="1"/>
    </row>
    <row r="742" spans="3:6" ht="14.25" customHeight="1" x14ac:dyDescent="0.25">
      <c r="C742" s="1"/>
      <c r="E742" s="1"/>
      <c r="F742" s="1"/>
    </row>
    <row r="743" spans="3:6" ht="14.25" customHeight="1" x14ac:dyDescent="0.25">
      <c r="C743" s="1"/>
      <c r="E743" s="1"/>
      <c r="F743" s="1"/>
    </row>
    <row r="744" spans="3:6" ht="14.25" customHeight="1" x14ac:dyDescent="0.25">
      <c r="C744" s="1"/>
      <c r="E744" s="1"/>
      <c r="F744" s="1"/>
    </row>
    <row r="745" spans="3:6" ht="14.25" customHeight="1" x14ac:dyDescent="0.25">
      <c r="C745" s="1"/>
      <c r="E745" s="1"/>
      <c r="F745" s="1"/>
    </row>
    <row r="746" spans="3:6" ht="14.25" customHeight="1" x14ac:dyDescent="0.25">
      <c r="C746" s="1"/>
      <c r="E746" s="1"/>
      <c r="F746" s="1"/>
    </row>
    <row r="747" spans="3:6" ht="14.25" customHeight="1" x14ac:dyDescent="0.25">
      <c r="C747" s="1"/>
      <c r="E747" s="1"/>
      <c r="F747" s="1"/>
    </row>
    <row r="748" spans="3:6" ht="14.25" customHeight="1" x14ac:dyDescent="0.25">
      <c r="C748" s="1"/>
      <c r="E748" s="1"/>
      <c r="F748" s="1"/>
    </row>
    <row r="749" spans="3:6" ht="14.25" customHeight="1" x14ac:dyDescent="0.25">
      <c r="C749" s="1"/>
      <c r="E749" s="1"/>
      <c r="F749" s="1"/>
    </row>
    <row r="750" spans="3:6" ht="14.25" customHeight="1" x14ac:dyDescent="0.25">
      <c r="C750" s="1"/>
      <c r="E750" s="1"/>
      <c r="F750" s="1"/>
    </row>
    <row r="751" spans="3:6" ht="14.25" customHeight="1" x14ac:dyDescent="0.25">
      <c r="C751" s="1"/>
      <c r="E751" s="1"/>
      <c r="F751" s="1"/>
    </row>
    <row r="752" spans="3:6" ht="14.25" customHeight="1" x14ac:dyDescent="0.25">
      <c r="C752" s="1"/>
      <c r="E752" s="1"/>
      <c r="F752" s="1"/>
    </row>
    <row r="753" spans="3:6" ht="14.25" customHeight="1" x14ac:dyDescent="0.25">
      <c r="C753" s="1"/>
      <c r="E753" s="1"/>
      <c r="F753" s="1"/>
    </row>
    <row r="754" spans="3:6" ht="14.25" customHeight="1" x14ac:dyDescent="0.25">
      <c r="C754" s="1"/>
      <c r="E754" s="1"/>
      <c r="F754" s="1"/>
    </row>
    <row r="755" spans="3:6" ht="14.25" customHeight="1" x14ac:dyDescent="0.25">
      <c r="C755" s="1"/>
      <c r="E755" s="1"/>
      <c r="F755" s="1"/>
    </row>
    <row r="756" spans="3:6" ht="14.25" customHeight="1" x14ac:dyDescent="0.25">
      <c r="C756" s="1"/>
      <c r="E756" s="1"/>
      <c r="F756" s="1"/>
    </row>
    <row r="757" spans="3:6" ht="14.25" customHeight="1" x14ac:dyDescent="0.25">
      <c r="C757" s="1"/>
      <c r="E757" s="1"/>
      <c r="F757" s="1"/>
    </row>
    <row r="758" spans="3:6" ht="14.25" customHeight="1" x14ac:dyDescent="0.25">
      <c r="C758" s="1"/>
      <c r="E758" s="1"/>
      <c r="F758" s="1"/>
    </row>
    <row r="759" spans="3:6" ht="14.25" customHeight="1" x14ac:dyDescent="0.25">
      <c r="C759" s="1"/>
      <c r="E759" s="1"/>
      <c r="F759" s="1"/>
    </row>
    <row r="760" spans="3:6" ht="14.25" customHeight="1" x14ac:dyDescent="0.25">
      <c r="C760" s="1"/>
      <c r="E760" s="1"/>
      <c r="F760" s="1"/>
    </row>
    <row r="761" spans="3:6" ht="14.25" customHeight="1" x14ac:dyDescent="0.25">
      <c r="C761" s="1"/>
      <c r="E761" s="1"/>
      <c r="F761" s="1"/>
    </row>
    <row r="762" spans="3:6" ht="14.25" customHeight="1" x14ac:dyDescent="0.25">
      <c r="C762" s="1"/>
      <c r="E762" s="1"/>
      <c r="F762" s="1"/>
    </row>
    <row r="763" spans="3:6" ht="14.25" customHeight="1" x14ac:dyDescent="0.25">
      <c r="C763" s="1"/>
      <c r="E763" s="1"/>
      <c r="F763" s="1"/>
    </row>
    <row r="764" spans="3:6" ht="14.25" customHeight="1" x14ac:dyDescent="0.25">
      <c r="C764" s="1"/>
      <c r="E764" s="1"/>
      <c r="F764" s="1"/>
    </row>
    <row r="765" spans="3:6" ht="14.25" customHeight="1" x14ac:dyDescent="0.25">
      <c r="C765" s="1"/>
      <c r="E765" s="1"/>
      <c r="F765" s="1"/>
    </row>
    <row r="766" spans="3:6" ht="14.25" customHeight="1" x14ac:dyDescent="0.25">
      <c r="C766" s="1"/>
      <c r="E766" s="1"/>
      <c r="F766" s="1"/>
    </row>
    <row r="767" spans="3:6" ht="14.25" customHeight="1" x14ac:dyDescent="0.25">
      <c r="C767" s="1"/>
      <c r="E767" s="1"/>
      <c r="F767" s="1"/>
    </row>
    <row r="768" spans="3:6" ht="14.25" customHeight="1" x14ac:dyDescent="0.25">
      <c r="C768" s="1"/>
      <c r="E768" s="1"/>
      <c r="F768" s="1"/>
    </row>
    <row r="769" spans="3:6" ht="14.25" customHeight="1" x14ac:dyDescent="0.25">
      <c r="C769" s="1"/>
      <c r="E769" s="1"/>
      <c r="F769" s="1"/>
    </row>
    <row r="770" spans="3:6" ht="14.25" customHeight="1" x14ac:dyDescent="0.25">
      <c r="C770" s="1"/>
      <c r="E770" s="1"/>
      <c r="F770" s="1"/>
    </row>
    <row r="771" spans="3:6" ht="14.25" customHeight="1" x14ac:dyDescent="0.25">
      <c r="C771" s="1"/>
      <c r="E771" s="1"/>
      <c r="F771" s="1"/>
    </row>
    <row r="772" spans="3:6" ht="14.25" customHeight="1" x14ac:dyDescent="0.25">
      <c r="C772" s="1"/>
      <c r="E772" s="1"/>
      <c r="F772" s="1"/>
    </row>
    <row r="773" spans="3:6" ht="14.25" customHeight="1" x14ac:dyDescent="0.25">
      <c r="C773" s="1"/>
      <c r="E773" s="1"/>
      <c r="F773" s="1"/>
    </row>
    <row r="774" spans="3:6" ht="14.25" customHeight="1" x14ac:dyDescent="0.25">
      <c r="C774" s="1"/>
      <c r="E774" s="1"/>
      <c r="F774" s="1"/>
    </row>
    <row r="775" spans="3:6" ht="14.25" customHeight="1" x14ac:dyDescent="0.25">
      <c r="C775" s="1"/>
      <c r="E775" s="1"/>
      <c r="F775" s="1"/>
    </row>
    <row r="776" spans="3:6" ht="14.25" customHeight="1" x14ac:dyDescent="0.25">
      <c r="C776" s="1"/>
      <c r="E776" s="1"/>
      <c r="F776" s="1"/>
    </row>
    <row r="777" spans="3:6" ht="14.25" customHeight="1" x14ac:dyDescent="0.25">
      <c r="C777" s="1"/>
      <c r="E777" s="1"/>
      <c r="F777" s="1"/>
    </row>
    <row r="778" spans="3:6" ht="14.25" customHeight="1" x14ac:dyDescent="0.25">
      <c r="C778" s="1"/>
      <c r="E778" s="1"/>
      <c r="F778" s="1"/>
    </row>
    <row r="779" spans="3:6" ht="14.25" customHeight="1" x14ac:dyDescent="0.25">
      <c r="C779" s="1"/>
      <c r="E779" s="1"/>
      <c r="F779" s="1"/>
    </row>
    <row r="780" spans="3:6" ht="14.25" customHeight="1" x14ac:dyDescent="0.25">
      <c r="C780" s="1"/>
      <c r="E780" s="1"/>
      <c r="F780" s="1"/>
    </row>
    <row r="781" spans="3:6" ht="14.25" customHeight="1" x14ac:dyDescent="0.25">
      <c r="C781" s="1"/>
      <c r="E781" s="1"/>
      <c r="F781" s="1"/>
    </row>
    <row r="782" spans="3:6" ht="14.25" customHeight="1" x14ac:dyDescent="0.25">
      <c r="C782" s="1"/>
      <c r="E782" s="1"/>
      <c r="F782" s="1"/>
    </row>
    <row r="783" spans="3:6" ht="14.25" customHeight="1" x14ac:dyDescent="0.25">
      <c r="C783" s="1"/>
      <c r="E783" s="1"/>
      <c r="F783" s="1"/>
    </row>
    <row r="784" spans="3:6" ht="14.25" customHeight="1" x14ac:dyDescent="0.25">
      <c r="C784" s="1"/>
      <c r="E784" s="1"/>
      <c r="F784" s="1"/>
    </row>
    <row r="785" spans="3:6" ht="14.25" customHeight="1" x14ac:dyDescent="0.25">
      <c r="C785" s="1"/>
      <c r="E785" s="1"/>
      <c r="F785" s="1"/>
    </row>
    <row r="786" spans="3:6" ht="14.25" customHeight="1" x14ac:dyDescent="0.25">
      <c r="C786" s="1"/>
      <c r="E786" s="1"/>
      <c r="F786" s="1"/>
    </row>
    <row r="787" spans="3:6" ht="14.25" customHeight="1" x14ac:dyDescent="0.25">
      <c r="C787" s="1"/>
      <c r="E787" s="1"/>
      <c r="F787" s="1"/>
    </row>
    <row r="788" spans="3:6" ht="14.25" customHeight="1" x14ac:dyDescent="0.25">
      <c r="C788" s="1"/>
      <c r="E788" s="1"/>
      <c r="F788" s="1"/>
    </row>
    <row r="789" spans="3:6" ht="14.25" customHeight="1" x14ac:dyDescent="0.25">
      <c r="C789" s="1"/>
      <c r="E789" s="1"/>
      <c r="F789" s="1"/>
    </row>
    <row r="790" spans="3:6" ht="14.25" customHeight="1" x14ac:dyDescent="0.25">
      <c r="C790" s="1"/>
      <c r="E790" s="1"/>
      <c r="F790" s="1"/>
    </row>
    <row r="791" spans="3:6" ht="14.25" customHeight="1" x14ac:dyDescent="0.25">
      <c r="C791" s="1"/>
      <c r="E791" s="1"/>
      <c r="F791" s="1"/>
    </row>
    <row r="792" spans="3:6" ht="14.25" customHeight="1" x14ac:dyDescent="0.25">
      <c r="C792" s="1"/>
      <c r="E792" s="1"/>
      <c r="F792" s="1"/>
    </row>
    <row r="793" spans="3:6" ht="14.25" customHeight="1" x14ac:dyDescent="0.25">
      <c r="C793" s="1"/>
      <c r="E793" s="1"/>
      <c r="F793" s="1"/>
    </row>
    <row r="794" spans="3:6" ht="14.25" customHeight="1" x14ac:dyDescent="0.25">
      <c r="C794" s="1"/>
      <c r="E794" s="1"/>
      <c r="F794" s="1"/>
    </row>
    <row r="795" spans="3:6" ht="14.25" customHeight="1" x14ac:dyDescent="0.25">
      <c r="C795" s="1"/>
      <c r="E795" s="1"/>
      <c r="F795" s="1"/>
    </row>
    <row r="796" spans="3:6" ht="14.25" customHeight="1" x14ac:dyDescent="0.25">
      <c r="C796" s="1"/>
      <c r="E796" s="1"/>
      <c r="F796" s="1"/>
    </row>
    <row r="797" spans="3:6" ht="14.25" customHeight="1" x14ac:dyDescent="0.25">
      <c r="C797" s="1"/>
      <c r="E797" s="1"/>
      <c r="F797" s="1"/>
    </row>
    <row r="798" spans="3:6" ht="14.25" customHeight="1" x14ac:dyDescent="0.25">
      <c r="C798" s="1"/>
      <c r="E798" s="1"/>
      <c r="F798" s="1"/>
    </row>
    <row r="799" spans="3:6" ht="14.25" customHeight="1" x14ac:dyDescent="0.25">
      <c r="C799" s="1"/>
      <c r="E799" s="1"/>
      <c r="F799" s="1"/>
    </row>
    <row r="800" spans="3:6" ht="14.25" customHeight="1" x14ac:dyDescent="0.25">
      <c r="C800" s="1"/>
      <c r="E800" s="1"/>
      <c r="F800" s="1"/>
    </row>
    <row r="801" spans="3:6" ht="14.25" customHeight="1" x14ac:dyDescent="0.25">
      <c r="C801" s="1"/>
      <c r="E801" s="1"/>
      <c r="F801" s="1"/>
    </row>
    <row r="802" spans="3:6" ht="14.25" customHeight="1" x14ac:dyDescent="0.25">
      <c r="C802" s="1"/>
      <c r="E802" s="1"/>
      <c r="F802" s="1"/>
    </row>
    <row r="803" spans="3:6" ht="14.25" customHeight="1" x14ac:dyDescent="0.25">
      <c r="C803" s="1"/>
      <c r="E803" s="1"/>
      <c r="F803" s="1"/>
    </row>
    <row r="804" spans="3:6" ht="14.25" customHeight="1" x14ac:dyDescent="0.25">
      <c r="C804" s="1"/>
      <c r="E804" s="1"/>
      <c r="F804" s="1"/>
    </row>
    <row r="805" spans="3:6" ht="14.25" customHeight="1" x14ac:dyDescent="0.25">
      <c r="C805" s="1"/>
      <c r="E805" s="1"/>
      <c r="F805" s="1"/>
    </row>
    <row r="806" spans="3:6" ht="14.25" customHeight="1" x14ac:dyDescent="0.25">
      <c r="C806" s="1"/>
      <c r="E806" s="1"/>
      <c r="F806" s="1"/>
    </row>
    <row r="807" spans="3:6" ht="14.25" customHeight="1" x14ac:dyDescent="0.25">
      <c r="C807" s="1"/>
      <c r="E807" s="1"/>
      <c r="F807" s="1"/>
    </row>
    <row r="808" spans="3:6" ht="14.25" customHeight="1" x14ac:dyDescent="0.25">
      <c r="C808" s="1"/>
      <c r="E808" s="1"/>
      <c r="F808" s="1"/>
    </row>
    <row r="809" spans="3:6" ht="14.25" customHeight="1" x14ac:dyDescent="0.25">
      <c r="C809" s="1"/>
      <c r="E809" s="1"/>
      <c r="F809" s="1"/>
    </row>
    <row r="810" spans="3:6" ht="14.25" customHeight="1" x14ac:dyDescent="0.25">
      <c r="C810" s="1"/>
      <c r="E810" s="1"/>
      <c r="F810" s="1"/>
    </row>
    <row r="811" spans="3:6" ht="14.25" customHeight="1" x14ac:dyDescent="0.25">
      <c r="C811" s="1"/>
      <c r="E811" s="1"/>
      <c r="F811" s="1"/>
    </row>
    <row r="812" spans="3:6" ht="14.25" customHeight="1" x14ac:dyDescent="0.25">
      <c r="C812" s="1"/>
      <c r="E812" s="1"/>
      <c r="F812" s="1"/>
    </row>
    <row r="813" spans="3:6" ht="14.25" customHeight="1" x14ac:dyDescent="0.25">
      <c r="C813" s="1"/>
      <c r="E813" s="1"/>
      <c r="F813" s="1"/>
    </row>
    <row r="814" spans="3:6" ht="14.25" customHeight="1" x14ac:dyDescent="0.25">
      <c r="C814" s="1"/>
      <c r="E814" s="1"/>
      <c r="F814" s="1"/>
    </row>
    <row r="815" spans="3:6" ht="14.25" customHeight="1" x14ac:dyDescent="0.25">
      <c r="C815" s="1"/>
      <c r="E815" s="1"/>
      <c r="F815" s="1"/>
    </row>
    <row r="816" spans="3:6" ht="14.25" customHeight="1" x14ac:dyDescent="0.25">
      <c r="C816" s="1"/>
      <c r="E816" s="1"/>
      <c r="F816" s="1"/>
    </row>
    <row r="817" spans="3:6" ht="14.25" customHeight="1" x14ac:dyDescent="0.25">
      <c r="C817" s="1"/>
      <c r="E817" s="1"/>
      <c r="F817" s="1"/>
    </row>
    <row r="818" spans="3:6" ht="14.25" customHeight="1" x14ac:dyDescent="0.25">
      <c r="C818" s="1"/>
      <c r="E818" s="1"/>
      <c r="F818" s="1"/>
    </row>
    <row r="819" spans="3:6" ht="14.25" customHeight="1" x14ac:dyDescent="0.25">
      <c r="C819" s="1"/>
      <c r="E819" s="1"/>
      <c r="F819" s="1"/>
    </row>
    <row r="820" spans="3:6" ht="14.25" customHeight="1" x14ac:dyDescent="0.25">
      <c r="C820" s="1"/>
      <c r="E820" s="1"/>
      <c r="F820" s="1"/>
    </row>
    <row r="821" spans="3:6" ht="14.25" customHeight="1" x14ac:dyDescent="0.25">
      <c r="C821" s="1"/>
      <c r="E821" s="1"/>
      <c r="F821" s="1"/>
    </row>
    <row r="822" spans="3:6" ht="14.25" customHeight="1" x14ac:dyDescent="0.25">
      <c r="C822" s="1"/>
      <c r="E822" s="1"/>
      <c r="F822" s="1"/>
    </row>
    <row r="823" spans="3:6" ht="14.25" customHeight="1" x14ac:dyDescent="0.25">
      <c r="C823" s="1"/>
      <c r="E823" s="1"/>
      <c r="F823" s="1"/>
    </row>
    <row r="824" spans="3:6" ht="14.25" customHeight="1" x14ac:dyDescent="0.25">
      <c r="C824" s="1"/>
      <c r="E824" s="1"/>
      <c r="F824" s="1"/>
    </row>
    <row r="825" spans="3:6" ht="14.25" customHeight="1" x14ac:dyDescent="0.25">
      <c r="C825" s="1"/>
      <c r="E825" s="1"/>
      <c r="F825" s="1"/>
    </row>
    <row r="826" spans="3:6" ht="14.25" customHeight="1" x14ac:dyDescent="0.25">
      <c r="C826" s="1"/>
      <c r="E826" s="1"/>
      <c r="F826" s="1"/>
    </row>
    <row r="827" spans="3:6" ht="14.25" customHeight="1" x14ac:dyDescent="0.25">
      <c r="C827" s="1"/>
      <c r="E827" s="1"/>
      <c r="F827" s="1"/>
    </row>
    <row r="828" spans="3:6" ht="14.25" customHeight="1" x14ac:dyDescent="0.25">
      <c r="C828" s="1"/>
      <c r="E828" s="1"/>
      <c r="F828" s="1"/>
    </row>
    <row r="829" spans="3:6" ht="14.25" customHeight="1" x14ac:dyDescent="0.25">
      <c r="C829" s="1"/>
      <c r="E829" s="1"/>
      <c r="F829" s="1"/>
    </row>
    <row r="830" spans="3:6" ht="14.25" customHeight="1" x14ac:dyDescent="0.25">
      <c r="C830" s="1"/>
      <c r="E830" s="1"/>
      <c r="F830" s="1"/>
    </row>
    <row r="831" spans="3:6" ht="14.25" customHeight="1" x14ac:dyDescent="0.25">
      <c r="C831" s="1"/>
      <c r="E831" s="1"/>
      <c r="F831" s="1"/>
    </row>
    <row r="832" spans="3:6" ht="14.25" customHeight="1" x14ac:dyDescent="0.25">
      <c r="C832" s="1"/>
      <c r="E832" s="1"/>
      <c r="F832" s="1"/>
    </row>
    <row r="833" spans="3:6" ht="14.25" customHeight="1" x14ac:dyDescent="0.25">
      <c r="C833" s="1"/>
      <c r="E833" s="1"/>
      <c r="F833" s="1"/>
    </row>
    <row r="834" spans="3:6" ht="14.25" customHeight="1" x14ac:dyDescent="0.25">
      <c r="C834" s="1"/>
      <c r="E834" s="1"/>
      <c r="F834" s="1"/>
    </row>
    <row r="835" spans="3:6" ht="14.25" customHeight="1" x14ac:dyDescent="0.25">
      <c r="C835" s="1"/>
      <c r="E835" s="1"/>
      <c r="F835" s="1"/>
    </row>
    <row r="836" spans="3:6" ht="14.25" customHeight="1" x14ac:dyDescent="0.25">
      <c r="C836" s="1"/>
      <c r="E836" s="1"/>
      <c r="F836" s="1"/>
    </row>
    <row r="837" spans="3:6" ht="14.25" customHeight="1" x14ac:dyDescent="0.25">
      <c r="C837" s="1"/>
      <c r="E837" s="1"/>
      <c r="F837" s="1"/>
    </row>
    <row r="838" spans="3:6" ht="14.25" customHeight="1" x14ac:dyDescent="0.25">
      <c r="C838" s="1"/>
      <c r="E838" s="1"/>
      <c r="F838" s="1"/>
    </row>
    <row r="839" spans="3:6" ht="14.25" customHeight="1" x14ac:dyDescent="0.25">
      <c r="C839" s="1"/>
      <c r="E839" s="1"/>
      <c r="F839" s="1"/>
    </row>
    <row r="840" spans="3:6" ht="14.25" customHeight="1" x14ac:dyDescent="0.25">
      <c r="C840" s="1"/>
      <c r="E840" s="1"/>
      <c r="F840" s="1"/>
    </row>
    <row r="841" spans="3:6" ht="14.25" customHeight="1" x14ac:dyDescent="0.25">
      <c r="C841" s="1"/>
      <c r="E841" s="1"/>
      <c r="F841" s="1"/>
    </row>
    <row r="842" spans="3:6" ht="14.25" customHeight="1" x14ac:dyDescent="0.25">
      <c r="C842" s="1"/>
      <c r="E842" s="1"/>
      <c r="F842" s="1"/>
    </row>
    <row r="843" spans="3:6" ht="14.25" customHeight="1" x14ac:dyDescent="0.25">
      <c r="C843" s="1"/>
      <c r="E843" s="1"/>
      <c r="F843" s="1"/>
    </row>
    <row r="844" spans="3:6" ht="14.25" customHeight="1" x14ac:dyDescent="0.25">
      <c r="C844" s="1"/>
      <c r="E844" s="1"/>
      <c r="F844" s="1"/>
    </row>
    <row r="845" spans="3:6" ht="14.25" customHeight="1" x14ac:dyDescent="0.25">
      <c r="C845" s="1"/>
      <c r="E845" s="1"/>
      <c r="F845" s="1"/>
    </row>
    <row r="846" spans="3:6" ht="14.25" customHeight="1" x14ac:dyDescent="0.25">
      <c r="C846" s="1"/>
      <c r="E846" s="1"/>
      <c r="F846" s="1"/>
    </row>
    <row r="847" spans="3:6" ht="14.25" customHeight="1" x14ac:dyDescent="0.25">
      <c r="C847" s="1"/>
      <c r="E847" s="1"/>
      <c r="F847" s="1"/>
    </row>
    <row r="848" spans="3:6" ht="14.25" customHeight="1" x14ac:dyDescent="0.25">
      <c r="C848" s="1"/>
      <c r="E848" s="1"/>
      <c r="F848" s="1"/>
    </row>
    <row r="849" spans="3:6" ht="14.25" customHeight="1" x14ac:dyDescent="0.25">
      <c r="C849" s="1"/>
      <c r="E849" s="1"/>
      <c r="F849" s="1"/>
    </row>
    <row r="850" spans="3:6" ht="14.25" customHeight="1" x14ac:dyDescent="0.25">
      <c r="C850" s="1"/>
      <c r="E850" s="1"/>
      <c r="F850" s="1"/>
    </row>
    <row r="851" spans="3:6" ht="14.25" customHeight="1" x14ac:dyDescent="0.25">
      <c r="C851" s="1"/>
      <c r="E851" s="1"/>
      <c r="F851" s="1"/>
    </row>
    <row r="852" spans="3:6" ht="14.25" customHeight="1" x14ac:dyDescent="0.25">
      <c r="C852" s="1"/>
      <c r="E852" s="1"/>
      <c r="F852" s="1"/>
    </row>
    <row r="853" spans="3:6" ht="14.25" customHeight="1" x14ac:dyDescent="0.25">
      <c r="C853" s="1"/>
      <c r="E853" s="1"/>
      <c r="F853" s="1"/>
    </row>
    <row r="854" spans="3:6" ht="14.25" customHeight="1" x14ac:dyDescent="0.25">
      <c r="C854" s="1"/>
      <c r="E854" s="1"/>
      <c r="F854" s="1"/>
    </row>
    <row r="855" spans="3:6" ht="14.25" customHeight="1" x14ac:dyDescent="0.25">
      <c r="C855" s="1"/>
      <c r="E855" s="1"/>
      <c r="F855" s="1"/>
    </row>
    <row r="856" spans="3:6" ht="14.25" customHeight="1" x14ac:dyDescent="0.25">
      <c r="C856" s="1"/>
      <c r="E856" s="1"/>
      <c r="F856" s="1"/>
    </row>
    <row r="857" spans="3:6" ht="14.25" customHeight="1" x14ac:dyDescent="0.25">
      <c r="C857" s="1"/>
      <c r="E857" s="1"/>
      <c r="F857" s="1"/>
    </row>
    <row r="858" spans="3:6" ht="14.25" customHeight="1" x14ac:dyDescent="0.25">
      <c r="C858" s="1"/>
      <c r="E858" s="1"/>
      <c r="F858" s="1"/>
    </row>
    <row r="859" spans="3:6" ht="14.25" customHeight="1" x14ac:dyDescent="0.25">
      <c r="C859" s="1"/>
      <c r="E859" s="1"/>
      <c r="F859" s="1"/>
    </row>
    <row r="860" spans="3:6" ht="14.25" customHeight="1" x14ac:dyDescent="0.25">
      <c r="C860" s="1"/>
      <c r="E860" s="1"/>
      <c r="F860" s="1"/>
    </row>
    <row r="861" spans="3:6" ht="14.25" customHeight="1" x14ac:dyDescent="0.25">
      <c r="C861" s="1"/>
      <c r="E861" s="1"/>
      <c r="F861" s="1"/>
    </row>
    <row r="862" spans="3:6" ht="14.25" customHeight="1" x14ac:dyDescent="0.25">
      <c r="C862" s="1"/>
      <c r="E862" s="1"/>
      <c r="F862" s="1"/>
    </row>
    <row r="863" spans="3:6" ht="14.25" customHeight="1" x14ac:dyDescent="0.25">
      <c r="C863" s="1"/>
      <c r="E863" s="1"/>
      <c r="F863" s="1"/>
    </row>
    <row r="864" spans="3:6" ht="14.25" customHeight="1" x14ac:dyDescent="0.25">
      <c r="C864" s="1"/>
      <c r="E864" s="1"/>
      <c r="F864" s="1"/>
    </row>
    <row r="865" spans="3:6" ht="14.25" customHeight="1" x14ac:dyDescent="0.25">
      <c r="C865" s="1"/>
      <c r="E865" s="1"/>
      <c r="F865" s="1"/>
    </row>
    <row r="866" spans="3:6" ht="14.25" customHeight="1" x14ac:dyDescent="0.25">
      <c r="C866" s="1"/>
      <c r="E866" s="1"/>
      <c r="F866" s="1"/>
    </row>
    <row r="867" spans="3:6" ht="14.25" customHeight="1" x14ac:dyDescent="0.25">
      <c r="C867" s="1"/>
      <c r="E867" s="1"/>
      <c r="F867" s="1"/>
    </row>
    <row r="868" spans="3:6" ht="14.25" customHeight="1" x14ac:dyDescent="0.25">
      <c r="C868" s="1"/>
      <c r="E868" s="1"/>
      <c r="F868" s="1"/>
    </row>
    <row r="869" spans="3:6" ht="14.25" customHeight="1" x14ac:dyDescent="0.25">
      <c r="C869" s="1"/>
      <c r="E869" s="1"/>
      <c r="F869" s="1"/>
    </row>
    <row r="870" spans="3:6" ht="14.25" customHeight="1" x14ac:dyDescent="0.25">
      <c r="C870" s="1"/>
      <c r="E870" s="1"/>
      <c r="F870" s="1"/>
    </row>
    <row r="871" spans="3:6" ht="14.25" customHeight="1" x14ac:dyDescent="0.25">
      <c r="C871" s="1"/>
      <c r="E871" s="1"/>
      <c r="F871" s="1"/>
    </row>
    <row r="872" spans="3:6" ht="14.25" customHeight="1" x14ac:dyDescent="0.25">
      <c r="C872" s="1"/>
      <c r="E872" s="1"/>
      <c r="F872" s="1"/>
    </row>
    <row r="873" spans="3:6" ht="14.25" customHeight="1" x14ac:dyDescent="0.25">
      <c r="C873" s="1"/>
      <c r="E873" s="1"/>
      <c r="F873" s="1"/>
    </row>
    <row r="874" spans="3:6" ht="14.25" customHeight="1" x14ac:dyDescent="0.25">
      <c r="C874" s="1"/>
      <c r="E874" s="1"/>
      <c r="F874" s="1"/>
    </row>
    <row r="875" spans="3:6" ht="14.25" customHeight="1" x14ac:dyDescent="0.25">
      <c r="C875" s="1"/>
      <c r="E875" s="1"/>
      <c r="F875" s="1"/>
    </row>
    <row r="876" spans="3:6" ht="14.25" customHeight="1" x14ac:dyDescent="0.25">
      <c r="C876" s="1"/>
      <c r="E876" s="1"/>
      <c r="F876" s="1"/>
    </row>
    <row r="877" spans="3:6" ht="14.25" customHeight="1" x14ac:dyDescent="0.25">
      <c r="C877" s="1"/>
      <c r="E877" s="1"/>
      <c r="F877" s="1"/>
    </row>
    <row r="878" spans="3:6" ht="14.25" customHeight="1" x14ac:dyDescent="0.25">
      <c r="C878" s="1"/>
      <c r="E878" s="1"/>
      <c r="F878" s="1"/>
    </row>
    <row r="879" spans="3:6" ht="14.25" customHeight="1" x14ac:dyDescent="0.25">
      <c r="C879" s="1"/>
      <c r="E879" s="1"/>
      <c r="F879" s="1"/>
    </row>
    <row r="880" spans="3:6" ht="14.25" customHeight="1" x14ac:dyDescent="0.25">
      <c r="C880" s="1"/>
      <c r="E880" s="1"/>
      <c r="F880" s="1"/>
    </row>
    <row r="881" spans="3:6" ht="14.25" customHeight="1" x14ac:dyDescent="0.25">
      <c r="C881" s="1"/>
      <c r="E881" s="1"/>
      <c r="F881" s="1"/>
    </row>
    <row r="882" spans="3:6" ht="14.25" customHeight="1" x14ac:dyDescent="0.25">
      <c r="C882" s="1"/>
      <c r="E882" s="1"/>
      <c r="F882" s="1"/>
    </row>
    <row r="883" spans="3:6" ht="14.25" customHeight="1" x14ac:dyDescent="0.25">
      <c r="C883" s="1"/>
      <c r="E883" s="1"/>
      <c r="F883" s="1"/>
    </row>
    <row r="884" spans="3:6" ht="14.25" customHeight="1" x14ac:dyDescent="0.25">
      <c r="C884" s="1"/>
      <c r="E884" s="1"/>
      <c r="F884" s="1"/>
    </row>
    <row r="885" spans="3:6" ht="14.25" customHeight="1" x14ac:dyDescent="0.25">
      <c r="C885" s="1"/>
      <c r="E885" s="1"/>
      <c r="F885" s="1"/>
    </row>
    <row r="886" spans="3:6" ht="14.25" customHeight="1" x14ac:dyDescent="0.25">
      <c r="C886" s="1"/>
      <c r="E886" s="1"/>
      <c r="F886" s="1"/>
    </row>
    <row r="887" spans="3:6" ht="14.25" customHeight="1" x14ac:dyDescent="0.25">
      <c r="C887" s="1"/>
      <c r="E887" s="1"/>
      <c r="F887" s="1"/>
    </row>
    <row r="888" spans="3:6" ht="14.25" customHeight="1" x14ac:dyDescent="0.25">
      <c r="C888" s="1"/>
      <c r="E888" s="1"/>
      <c r="F888" s="1"/>
    </row>
    <row r="889" spans="3:6" ht="14.25" customHeight="1" x14ac:dyDescent="0.25">
      <c r="C889" s="1"/>
      <c r="E889" s="1"/>
      <c r="F889" s="1"/>
    </row>
    <row r="890" spans="3:6" ht="14.25" customHeight="1" x14ac:dyDescent="0.25">
      <c r="C890" s="1"/>
      <c r="E890" s="1"/>
      <c r="F890" s="1"/>
    </row>
    <row r="891" spans="3:6" ht="14.25" customHeight="1" x14ac:dyDescent="0.25">
      <c r="C891" s="1"/>
      <c r="E891" s="1"/>
      <c r="F891" s="1"/>
    </row>
    <row r="892" spans="3:6" ht="14.25" customHeight="1" x14ac:dyDescent="0.25">
      <c r="C892" s="1"/>
      <c r="E892" s="1"/>
      <c r="F892" s="1"/>
    </row>
    <row r="893" spans="3:6" ht="14.25" customHeight="1" x14ac:dyDescent="0.25">
      <c r="C893" s="1"/>
      <c r="E893" s="1"/>
      <c r="F893" s="1"/>
    </row>
    <row r="894" spans="3:6" ht="14.25" customHeight="1" x14ac:dyDescent="0.25">
      <c r="C894" s="1"/>
      <c r="E894" s="1"/>
      <c r="F894" s="1"/>
    </row>
    <row r="895" spans="3:6" ht="14.25" customHeight="1" x14ac:dyDescent="0.25">
      <c r="C895" s="1"/>
      <c r="E895" s="1"/>
      <c r="F895" s="1"/>
    </row>
    <row r="896" spans="3:6" ht="14.25" customHeight="1" x14ac:dyDescent="0.25">
      <c r="C896" s="1"/>
      <c r="E896" s="1"/>
      <c r="F896" s="1"/>
    </row>
    <row r="897" spans="3:6" ht="14.25" customHeight="1" x14ac:dyDescent="0.25">
      <c r="C897" s="1"/>
      <c r="E897" s="1"/>
      <c r="F897" s="1"/>
    </row>
    <row r="898" spans="3:6" ht="14.25" customHeight="1" x14ac:dyDescent="0.25">
      <c r="C898" s="1"/>
      <c r="E898" s="1"/>
      <c r="F898" s="1"/>
    </row>
    <row r="899" spans="3:6" ht="14.25" customHeight="1" x14ac:dyDescent="0.25">
      <c r="C899" s="1"/>
      <c r="E899" s="1"/>
      <c r="F899" s="1"/>
    </row>
    <row r="900" spans="3:6" ht="14.25" customHeight="1" x14ac:dyDescent="0.25">
      <c r="C900" s="1"/>
      <c r="E900" s="1"/>
      <c r="F900" s="1"/>
    </row>
    <row r="901" spans="3:6" ht="14.25" customHeight="1" x14ac:dyDescent="0.25">
      <c r="C901" s="1"/>
      <c r="E901" s="1"/>
      <c r="F901" s="1"/>
    </row>
    <row r="902" spans="3:6" ht="14.25" customHeight="1" x14ac:dyDescent="0.25">
      <c r="C902" s="1"/>
      <c r="E902" s="1"/>
      <c r="F902" s="1"/>
    </row>
    <row r="903" spans="3:6" ht="14.25" customHeight="1" x14ac:dyDescent="0.25">
      <c r="C903" s="1"/>
      <c r="E903" s="1"/>
      <c r="F903" s="1"/>
    </row>
    <row r="904" spans="3:6" ht="14.25" customHeight="1" x14ac:dyDescent="0.25">
      <c r="C904" s="1"/>
      <c r="E904" s="1"/>
      <c r="F904" s="1"/>
    </row>
    <row r="905" spans="3:6" ht="14.25" customHeight="1" x14ac:dyDescent="0.25">
      <c r="C905" s="1"/>
      <c r="E905" s="1"/>
      <c r="F905" s="1"/>
    </row>
    <row r="906" spans="3:6" ht="14.25" customHeight="1" x14ac:dyDescent="0.25">
      <c r="C906" s="1"/>
      <c r="E906" s="1"/>
      <c r="F906" s="1"/>
    </row>
    <row r="907" spans="3:6" ht="14.25" customHeight="1" x14ac:dyDescent="0.25">
      <c r="C907" s="1"/>
      <c r="E907" s="1"/>
      <c r="F907" s="1"/>
    </row>
    <row r="908" spans="3:6" ht="14.25" customHeight="1" x14ac:dyDescent="0.25">
      <c r="C908" s="1"/>
      <c r="E908" s="1"/>
      <c r="F908" s="1"/>
    </row>
    <row r="909" spans="3:6" ht="14.25" customHeight="1" x14ac:dyDescent="0.25">
      <c r="C909" s="1"/>
      <c r="E909" s="1"/>
      <c r="F909" s="1"/>
    </row>
    <row r="910" spans="3:6" ht="14.25" customHeight="1" x14ac:dyDescent="0.25">
      <c r="C910" s="1"/>
      <c r="E910" s="1"/>
      <c r="F910" s="1"/>
    </row>
    <row r="911" spans="3:6" ht="14.25" customHeight="1" x14ac:dyDescent="0.25">
      <c r="C911" s="1"/>
      <c r="E911" s="1"/>
      <c r="F911" s="1"/>
    </row>
    <row r="912" spans="3:6" ht="14.25" customHeight="1" x14ac:dyDescent="0.25">
      <c r="C912" s="1"/>
      <c r="E912" s="1"/>
      <c r="F912" s="1"/>
    </row>
    <row r="913" spans="3:6" ht="14.25" customHeight="1" x14ac:dyDescent="0.25">
      <c r="C913" s="1"/>
      <c r="E913" s="1"/>
      <c r="F913" s="1"/>
    </row>
    <row r="914" spans="3:6" ht="14.25" customHeight="1" x14ac:dyDescent="0.25">
      <c r="C914" s="1"/>
      <c r="E914" s="1"/>
      <c r="F914" s="1"/>
    </row>
    <row r="915" spans="3:6" ht="14.25" customHeight="1" x14ac:dyDescent="0.25">
      <c r="C915" s="1"/>
      <c r="E915" s="1"/>
      <c r="F915" s="1"/>
    </row>
    <row r="916" spans="3:6" ht="14.25" customHeight="1" x14ac:dyDescent="0.25">
      <c r="C916" s="1"/>
      <c r="E916" s="1"/>
      <c r="F916" s="1"/>
    </row>
    <row r="917" spans="3:6" ht="14.25" customHeight="1" x14ac:dyDescent="0.25">
      <c r="C917" s="1"/>
      <c r="E917" s="1"/>
      <c r="F917" s="1"/>
    </row>
    <row r="918" spans="3:6" ht="14.25" customHeight="1" x14ac:dyDescent="0.25">
      <c r="C918" s="1"/>
      <c r="E918" s="1"/>
      <c r="F918" s="1"/>
    </row>
    <row r="919" spans="3:6" ht="14.25" customHeight="1" x14ac:dyDescent="0.25">
      <c r="C919" s="1"/>
      <c r="E919" s="1"/>
      <c r="F919" s="1"/>
    </row>
    <row r="920" spans="3:6" ht="14.25" customHeight="1" x14ac:dyDescent="0.25">
      <c r="C920" s="1"/>
      <c r="E920" s="1"/>
      <c r="F920" s="1"/>
    </row>
    <row r="921" spans="3:6" ht="14.25" customHeight="1" x14ac:dyDescent="0.25">
      <c r="C921" s="1"/>
      <c r="E921" s="1"/>
      <c r="F921" s="1"/>
    </row>
    <row r="922" spans="3:6" ht="14.25" customHeight="1" x14ac:dyDescent="0.25">
      <c r="C922" s="1"/>
      <c r="E922" s="1"/>
      <c r="F922" s="1"/>
    </row>
    <row r="923" spans="3:6" ht="14.25" customHeight="1" x14ac:dyDescent="0.25">
      <c r="C923" s="1"/>
      <c r="E923" s="1"/>
      <c r="F923" s="1"/>
    </row>
    <row r="924" spans="3:6" ht="14.25" customHeight="1" x14ac:dyDescent="0.25">
      <c r="C924" s="1"/>
      <c r="E924" s="1"/>
      <c r="F924" s="1"/>
    </row>
    <row r="925" spans="3:6" ht="14.25" customHeight="1" x14ac:dyDescent="0.25">
      <c r="C925" s="1"/>
      <c r="E925" s="1"/>
      <c r="F925" s="1"/>
    </row>
    <row r="926" spans="3:6" ht="14.25" customHeight="1" x14ac:dyDescent="0.25">
      <c r="C926" s="1"/>
      <c r="E926" s="1"/>
      <c r="F926" s="1"/>
    </row>
    <row r="927" spans="3:6" ht="14.25" customHeight="1" x14ac:dyDescent="0.25">
      <c r="C927" s="1"/>
      <c r="E927" s="1"/>
      <c r="F927" s="1"/>
    </row>
    <row r="928" spans="3:6" ht="14.25" customHeight="1" x14ac:dyDescent="0.25">
      <c r="C928" s="1"/>
      <c r="E928" s="1"/>
      <c r="F928" s="1"/>
    </row>
    <row r="929" spans="3:6" ht="14.25" customHeight="1" x14ac:dyDescent="0.25">
      <c r="C929" s="1"/>
      <c r="E929" s="1"/>
      <c r="F929" s="1"/>
    </row>
    <row r="930" spans="3:6" ht="14.25" customHeight="1" x14ac:dyDescent="0.25">
      <c r="C930" s="1"/>
      <c r="E930" s="1"/>
      <c r="F930" s="1"/>
    </row>
    <row r="931" spans="3:6" ht="14.25" customHeight="1" x14ac:dyDescent="0.25">
      <c r="C931" s="1"/>
      <c r="E931" s="1"/>
      <c r="F931" s="1"/>
    </row>
    <row r="932" spans="3:6" ht="14.25" customHeight="1" x14ac:dyDescent="0.25">
      <c r="C932" s="1"/>
      <c r="E932" s="1"/>
      <c r="F932" s="1"/>
    </row>
    <row r="933" spans="3:6" ht="14.25" customHeight="1" x14ac:dyDescent="0.25">
      <c r="C933" s="1"/>
      <c r="E933" s="1"/>
      <c r="F933" s="1"/>
    </row>
    <row r="934" spans="3:6" ht="14.25" customHeight="1" x14ac:dyDescent="0.25">
      <c r="C934" s="1"/>
      <c r="E934" s="1"/>
      <c r="F934" s="1"/>
    </row>
    <row r="935" spans="3:6" ht="14.25" customHeight="1" x14ac:dyDescent="0.25">
      <c r="C935" s="1"/>
      <c r="E935" s="1"/>
      <c r="F935" s="1"/>
    </row>
    <row r="936" spans="3:6" ht="14.25" customHeight="1" x14ac:dyDescent="0.25">
      <c r="C936" s="1"/>
      <c r="E936" s="1"/>
      <c r="F936" s="1"/>
    </row>
    <row r="937" spans="3:6" ht="14.25" customHeight="1" x14ac:dyDescent="0.25">
      <c r="C937" s="1"/>
      <c r="E937" s="1"/>
      <c r="F937" s="1"/>
    </row>
    <row r="938" spans="3:6" ht="14.25" customHeight="1" x14ac:dyDescent="0.25">
      <c r="C938" s="1"/>
      <c r="E938" s="1"/>
      <c r="F938" s="1"/>
    </row>
    <row r="939" spans="3:6" ht="14.25" customHeight="1" x14ac:dyDescent="0.25">
      <c r="C939" s="1"/>
      <c r="E939" s="1"/>
      <c r="F939" s="1"/>
    </row>
    <row r="940" spans="3:6" ht="14.25" customHeight="1" x14ac:dyDescent="0.25">
      <c r="C940" s="1"/>
      <c r="E940" s="1"/>
      <c r="F940" s="1"/>
    </row>
    <row r="941" spans="3:6" ht="14.25" customHeight="1" x14ac:dyDescent="0.25">
      <c r="C941" s="1"/>
      <c r="E941" s="1"/>
      <c r="F941" s="1"/>
    </row>
    <row r="942" spans="3:6" ht="14.25" customHeight="1" x14ac:dyDescent="0.25">
      <c r="C942" s="1"/>
      <c r="E942" s="1"/>
      <c r="F942" s="1"/>
    </row>
    <row r="943" spans="3:6" ht="14.25" customHeight="1" x14ac:dyDescent="0.25">
      <c r="C943" s="1"/>
      <c r="E943" s="1"/>
      <c r="F943" s="1"/>
    </row>
    <row r="944" spans="3:6" ht="14.25" customHeight="1" x14ac:dyDescent="0.25">
      <c r="C944" s="1"/>
      <c r="E944" s="1"/>
      <c r="F944" s="1"/>
    </row>
    <row r="945" spans="3:6" ht="14.25" customHeight="1" x14ac:dyDescent="0.25">
      <c r="C945" s="1"/>
      <c r="E945" s="1"/>
      <c r="F945" s="1"/>
    </row>
    <row r="946" spans="3:6" ht="14.25" customHeight="1" x14ac:dyDescent="0.25">
      <c r="C946" s="1"/>
      <c r="E946" s="1"/>
      <c r="F946" s="1"/>
    </row>
    <row r="947" spans="3:6" ht="14.25" customHeight="1" x14ac:dyDescent="0.25">
      <c r="C947" s="1"/>
      <c r="E947" s="1"/>
      <c r="F947" s="1"/>
    </row>
    <row r="948" spans="3:6" ht="14.25" customHeight="1" x14ac:dyDescent="0.25">
      <c r="C948" s="1"/>
      <c r="E948" s="1"/>
      <c r="F948" s="1"/>
    </row>
    <row r="949" spans="3:6" ht="14.25" customHeight="1" x14ac:dyDescent="0.25">
      <c r="C949" s="1"/>
      <c r="E949" s="1"/>
      <c r="F949" s="1"/>
    </row>
    <row r="950" spans="3:6" ht="14.25" customHeight="1" x14ac:dyDescent="0.25">
      <c r="C950" s="1"/>
      <c r="E950" s="1"/>
      <c r="F950" s="1"/>
    </row>
    <row r="951" spans="3:6" ht="14.25" customHeight="1" x14ac:dyDescent="0.25">
      <c r="C951" s="1"/>
      <c r="E951" s="1"/>
      <c r="F951" s="1"/>
    </row>
    <row r="952" spans="3:6" ht="14.25" customHeight="1" x14ac:dyDescent="0.25">
      <c r="C952" s="1"/>
      <c r="E952" s="1"/>
      <c r="F952" s="1"/>
    </row>
    <row r="953" spans="3:6" ht="14.25" customHeight="1" x14ac:dyDescent="0.25">
      <c r="C953" s="1"/>
      <c r="E953" s="1"/>
      <c r="F953" s="1"/>
    </row>
    <row r="954" spans="3:6" ht="14.25" customHeight="1" x14ac:dyDescent="0.25">
      <c r="C954" s="1"/>
      <c r="E954" s="1"/>
      <c r="F954" s="1"/>
    </row>
    <row r="955" spans="3:6" ht="14.25" customHeight="1" x14ac:dyDescent="0.25">
      <c r="C955" s="1"/>
      <c r="E955" s="1"/>
      <c r="F955" s="1"/>
    </row>
    <row r="956" spans="3:6" ht="14.25" customHeight="1" x14ac:dyDescent="0.25">
      <c r="C956" s="1"/>
      <c r="E956" s="1"/>
      <c r="F956" s="1"/>
    </row>
    <row r="957" spans="3:6" ht="14.25" customHeight="1" x14ac:dyDescent="0.25">
      <c r="C957" s="1"/>
      <c r="E957" s="1"/>
      <c r="F957" s="1"/>
    </row>
    <row r="958" spans="3:6" ht="14.25" customHeight="1" x14ac:dyDescent="0.25">
      <c r="C958" s="1"/>
      <c r="E958" s="1"/>
      <c r="F958" s="1"/>
    </row>
    <row r="959" spans="3:6" ht="14.25" customHeight="1" x14ac:dyDescent="0.25">
      <c r="C959" s="1"/>
      <c r="E959" s="1"/>
      <c r="F959" s="1"/>
    </row>
    <row r="960" spans="3:6" ht="14.25" customHeight="1" x14ac:dyDescent="0.25">
      <c r="C960" s="1"/>
      <c r="E960" s="1"/>
      <c r="F960" s="1"/>
    </row>
    <row r="961" spans="3:6" ht="14.25" customHeight="1" x14ac:dyDescent="0.25">
      <c r="C961" s="1"/>
      <c r="E961" s="1"/>
      <c r="F961" s="1"/>
    </row>
    <row r="962" spans="3:6" ht="14.25" customHeight="1" x14ac:dyDescent="0.25">
      <c r="C962" s="1"/>
      <c r="E962" s="1"/>
      <c r="F962" s="1"/>
    </row>
    <row r="963" spans="3:6" ht="14.25" customHeight="1" x14ac:dyDescent="0.25">
      <c r="C963" s="1"/>
      <c r="E963" s="1"/>
      <c r="F963" s="1"/>
    </row>
    <row r="964" spans="3:6" ht="14.25" customHeight="1" x14ac:dyDescent="0.25">
      <c r="C964" s="1"/>
      <c r="E964" s="1"/>
      <c r="F964" s="1"/>
    </row>
    <row r="965" spans="3:6" ht="14.25" customHeight="1" x14ac:dyDescent="0.25">
      <c r="C965" s="1"/>
      <c r="E965" s="1"/>
      <c r="F965" s="1"/>
    </row>
    <row r="966" spans="3:6" ht="14.25" customHeight="1" x14ac:dyDescent="0.25">
      <c r="C966" s="1"/>
      <c r="E966" s="1"/>
      <c r="F966" s="1"/>
    </row>
    <row r="967" spans="3:6" ht="14.25" customHeight="1" x14ac:dyDescent="0.25">
      <c r="C967" s="1"/>
      <c r="E967" s="1"/>
      <c r="F967" s="1"/>
    </row>
    <row r="968" spans="3:6" ht="14.25" customHeight="1" x14ac:dyDescent="0.25">
      <c r="C968" s="1"/>
      <c r="E968" s="1"/>
      <c r="F968" s="1"/>
    </row>
    <row r="969" spans="3:6" ht="14.25" customHeight="1" x14ac:dyDescent="0.25">
      <c r="C969" s="1"/>
      <c r="E969" s="1"/>
      <c r="F969" s="1"/>
    </row>
    <row r="970" spans="3:6" ht="14.25" customHeight="1" x14ac:dyDescent="0.25">
      <c r="C970" s="1"/>
      <c r="E970" s="1"/>
      <c r="F970" s="1"/>
    </row>
    <row r="971" spans="3:6" ht="14.25" customHeight="1" x14ac:dyDescent="0.25">
      <c r="C971" s="1"/>
      <c r="E971" s="1"/>
      <c r="F971" s="1"/>
    </row>
    <row r="972" spans="3:6" ht="14.25" customHeight="1" x14ac:dyDescent="0.25">
      <c r="C972" s="1"/>
      <c r="E972" s="1"/>
      <c r="F972" s="1"/>
    </row>
    <row r="973" spans="3:6" ht="14.25" customHeight="1" x14ac:dyDescent="0.25">
      <c r="C973" s="1"/>
      <c r="E973" s="1"/>
      <c r="F973" s="1"/>
    </row>
    <row r="974" spans="3:6" ht="14.25" customHeight="1" x14ac:dyDescent="0.25">
      <c r="C974" s="1"/>
      <c r="E974" s="1"/>
      <c r="F974" s="1"/>
    </row>
    <row r="975" spans="3:6" ht="14.25" customHeight="1" x14ac:dyDescent="0.25">
      <c r="C975" s="1"/>
      <c r="E975" s="1"/>
      <c r="F975" s="1"/>
    </row>
    <row r="976" spans="3:6" ht="14.25" customHeight="1" x14ac:dyDescent="0.25">
      <c r="C976" s="1"/>
      <c r="E976" s="1"/>
      <c r="F976" s="1"/>
    </row>
    <row r="977" spans="3:6" ht="14.25" customHeight="1" x14ac:dyDescent="0.25">
      <c r="C977" s="1"/>
      <c r="E977" s="1"/>
      <c r="F977" s="1"/>
    </row>
    <row r="978" spans="3:6" ht="14.25" customHeight="1" x14ac:dyDescent="0.25">
      <c r="C978" s="1"/>
      <c r="E978" s="1"/>
      <c r="F978" s="1"/>
    </row>
    <row r="979" spans="3:6" ht="14.25" customHeight="1" x14ac:dyDescent="0.25">
      <c r="C979" s="1"/>
      <c r="E979" s="1"/>
      <c r="F979" s="1"/>
    </row>
    <row r="980" spans="3:6" ht="14.25" customHeight="1" x14ac:dyDescent="0.25">
      <c r="C980" s="1"/>
      <c r="E980" s="1"/>
      <c r="F980" s="1"/>
    </row>
    <row r="981" spans="3:6" ht="14.25" customHeight="1" x14ac:dyDescent="0.25">
      <c r="C981" s="1"/>
      <c r="E981" s="1"/>
      <c r="F981" s="1"/>
    </row>
    <row r="982" spans="3:6" ht="14.25" customHeight="1" x14ac:dyDescent="0.25">
      <c r="C982" s="1"/>
      <c r="E982" s="1"/>
      <c r="F982" s="1"/>
    </row>
    <row r="983" spans="3:6" ht="14.25" customHeight="1" x14ac:dyDescent="0.25">
      <c r="C983" s="1"/>
      <c r="E983" s="1"/>
      <c r="F983" s="1"/>
    </row>
    <row r="984" spans="3:6" ht="14.25" customHeight="1" x14ac:dyDescent="0.25">
      <c r="C984" s="1"/>
      <c r="E984" s="1"/>
      <c r="F984" s="1"/>
    </row>
    <row r="985" spans="3:6" ht="14.25" customHeight="1" x14ac:dyDescent="0.25">
      <c r="C985" s="1"/>
      <c r="E985" s="1"/>
      <c r="F985" s="1"/>
    </row>
    <row r="986" spans="3:6" ht="14.25" customHeight="1" x14ac:dyDescent="0.25">
      <c r="C986" s="1"/>
      <c r="E986" s="1"/>
      <c r="F986" s="1"/>
    </row>
    <row r="987" spans="3:6" ht="14.25" customHeight="1" x14ac:dyDescent="0.25">
      <c r="C987" s="1"/>
      <c r="E987" s="1"/>
      <c r="F987" s="1"/>
    </row>
    <row r="988" spans="3:6" ht="14.25" customHeight="1" x14ac:dyDescent="0.25">
      <c r="C988" s="1"/>
      <c r="E988" s="1"/>
      <c r="F988" s="1"/>
    </row>
    <row r="989" spans="3:6" ht="14.25" customHeight="1" x14ac:dyDescent="0.25">
      <c r="C989" s="1"/>
      <c r="E989" s="1"/>
      <c r="F989" s="1"/>
    </row>
    <row r="990" spans="3:6" ht="14.25" customHeight="1" x14ac:dyDescent="0.25">
      <c r="C990" s="1"/>
      <c r="E990" s="1"/>
      <c r="F990" s="1"/>
    </row>
    <row r="991" spans="3:6" ht="14.25" customHeight="1" x14ac:dyDescent="0.25">
      <c r="C991" s="1"/>
      <c r="E991" s="1"/>
      <c r="F991" s="1"/>
    </row>
    <row r="992" spans="3:6" ht="14.25" customHeight="1" x14ac:dyDescent="0.25">
      <c r="C992" s="1"/>
      <c r="E992" s="1"/>
      <c r="F992" s="1"/>
    </row>
    <row r="993" spans="3:6" ht="14.25" customHeight="1" x14ac:dyDescent="0.25">
      <c r="C993" s="1"/>
      <c r="E993" s="1"/>
      <c r="F993" s="1"/>
    </row>
    <row r="994" spans="3:6" ht="14.25" customHeight="1" x14ac:dyDescent="0.25">
      <c r="C994" s="1"/>
      <c r="E994" s="1"/>
      <c r="F994" s="1"/>
    </row>
    <row r="995" spans="3:6" ht="14.25" customHeight="1" x14ac:dyDescent="0.25">
      <c r="C995" s="1"/>
      <c r="E995" s="1"/>
      <c r="F995" s="1"/>
    </row>
    <row r="996" spans="3:6" ht="14.25" customHeight="1" x14ac:dyDescent="0.25">
      <c r="C996" s="1"/>
      <c r="E996" s="1"/>
      <c r="F996" s="1"/>
    </row>
    <row r="997" spans="3:6" ht="14.25" customHeight="1" x14ac:dyDescent="0.25">
      <c r="C997" s="1"/>
      <c r="E997" s="1"/>
      <c r="F997" s="1"/>
    </row>
    <row r="998" spans="3:6" ht="14.25" customHeight="1" x14ac:dyDescent="0.25">
      <c r="C998" s="1"/>
      <c r="E998" s="1"/>
      <c r="F998" s="1"/>
    </row>
    <row r="999" spans="3:6" ht="14.25" customHeight="1" x14ac:dyDescent="0.25">
      <c r="C999" s="1"/>
      <c r="E999" s="1"/>
      <c r="F999" s="1"/>
    </row>
    <row r="1000" spans="3:6" ht="14.25" customHeight="1" x14ac:dyDescent="0.25">
      <c r="C1000" s="1"/>
      <c r="E1000" s="1"/>
      <c r="F1000" s="1"/>
    </row>
    <row r="1001" spans="3:6" ht="14.25" customHeight="1" x14ac:dyDescent="0.25">
      <c r="C1001" s="1"/>
      <c r="E1001" s="1"/>
      <c r="F1001" s="1"/>
    </row>
    <row r="1002" spans="3:6" ht="14.25" customHeight="1" x14ac:dyDescent="0.25">
      <c r="C1002" s="1"/>
      <c r="E1002" s="1"/>
      <c r="F1002" s="1"/>
    </row>
  </sheetData>
  <autoFilter ref="C6:F23" xr:uid="{00000000-0009-0000-0000-000008000000}">
    <sortState xmlns:xlrd2="http://schemas.microsoft.com/office/spreadsheetml/2017/richdata2" ref="C7:F28">
      <sortCondition ref="D6:D23"/>
    </sortState>
  </autoFilter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RESUMO FATURAMENTO</vt:lpstr>
      <vt:lpstr>DETALHAMENTO CLT</vt:lpstr>
      <vt:lpstr>DETALHAMENTO PF</vt:lpstr>
      <vt:lpstr>DETALHAMENTO PJ SAUDE</vt:lpstr>
      <vt:lpstr>TOTAL POR ATIVIDADE PT</vt:lpstr>
      <vt:lpstr>DESPESA ADM</vt:lpstr>
      <vt:lpstr>Referencia PT</vt:lpstr>
      <vt:lpstr>'DESPESA ADM'!Area_de_impressao</vt:lpstr>
      <vt:lpstr>'DETALHAMENTO PJ SAUDE'!Area_de_impressao</vt:lpstr>
      <vt:lpstr>'DETALHAMENTO CLT'!Titulos_de_impressao</vt:lpstr>
      <vt:lpstr>'DETALHAMENTO PJ SAUDE'!Titulos_de_impressao</vt:lpstr>
      <vt:lpstr>'TOTAL POR ATIVIDADE PT'!Titulos_de_impressao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Ediane Dalbosco</dc:creator>
  <cp:lastModifiedBy>Ediane Dalbosco</cp:lastModifiedBy>
  <cp:lastPrinted>2026-09-08T04:29:36Z</cp:lastPrinted>
  <dcterms:created xsi:type="dcterms:W3CDTF">2024-01-26T15:22:59Z</dcterms:created>
  <dcterms:modified xsi:type="dcterms:W3CDTF">2026-09-12T23:28:00Z</dcterms:modified>
</cp:coreProperties>
</file>